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https://wutwaw-my.sharepoint.com/personal/01025427_pw_edu_pl/Documents/STUDIA/MGR/PRACA_MATERIALY/KOD/"/>
    </mc:Choice>
  </mc:AlternateContent>
  <xr:revisionPtr revIDLastSave="47" documentId="11_427B47D5F59559984CF894749F26CCABBC3574CB" xr6:coauthVersionLast="45" xr6:coauthVersionMax="45" xr10:uidLastSave="{01633B6E-7153-4315-BAD2-FE0EC159C2D0}"/>
  <bookViews>
    <workbookView xWindow="-120" yWindow="-120" windowWidth="29040" windowHeight="15990" activeTab="1" xr2:uid="{00000000-000D-0000-FFFF-FFFF00000000}"/>
  </bookViews>
  <sheets>
    <sheet name="current" sheetId="1" r:id="rId1"/>
    <sheet name="Podsumowanie" sheetId="2" r:id="rId2"/>
    <sheet name="MSE" sheetId="3" r:id="rId3"/>
    <sheet name="pitch_C" sheetId="4" r:id="rId4"/>
    <sheet name="roll_C" sheetId="5" r:id="rId5"/>
    <sheet name="yaw_C" sheetId="6" r:id="rId6"/>
    <sheet name="pitch_M" sheetId="7" r:id="rId7"/>
    <sheet name="roll_M" sheetId="8" r:id="rId8"/>
    <sheet name="yaw_M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3" roundtripDataSignature="AMtx7mgAcIyOBbdJlKrzNX4hlm0rTGm8Tg=="/>
    </ext>
  </extLst>
</workbook>
</file>

<file path=xl/calcChain.xml><?xml version="1.0" encoding="utf-8"?>
<calcChain xmlns="http://schemas.openxmlformats.org/spreadsheetml/2006/main">
  <c r="K15" i="6" l="1"/>
  <c r="J15" i="6"/>
  <c r="I15" i="6"/>
  <c r="H15" i="6"/>
  <c r="G15" i="6"/>
  <c r="F15" i="6"/>
  <c r="E15" i="6"/>
  <c r="D15" i="6"/>
  <c r="C15" i="6"/>
  <c r="B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H13" i="6"/>
  <c r="G13" i="6"/>
  <c r="F13" i="6"/>
  <c r="E13" i="6"/>
  <c r="D13" i="6"/>
  <c r="C13" i="6"/>
  <c r="B13" i="6"/>
  <c r="K12" i="6"/>
  <c r="J12" i="6"/>
  <c r="I12" i="6"/>
  <c r="H12" i="6"/>
  <c r="G12" i="6"/>
  <c r="F12" i="6"/>
  <c r="E12" i="6"/>
  <c r="D12" i="6"/>
  <c r="C12" i="6"/>
  <c r="B12" i="6"/>
  <c r="K11" i="6"/>
  <c r="J11" i="6"/>
  <c r="I11" i="6"/>
  <c r="H11" i="6"/>
  <c r="G11" i="6"/>
  <c r="F11" i="6"/>
  <c r="E11" i="6"/>
  <c r="D11" i="6"/>
  <c r="C11" i="6"/>
  <c r="B11" i="6"/>
  <c r="K10" i="6"/>
  <c r="J10" i="6"/>
  <c r="I10" i="6"/>
  <c r="H10" i="6"/>
  <c r="G10" i="6"/>
  <c r="F10" i="6"/>
  <c r="E10" i="6"/>
  <c r="D10" i="6"/>
  <c r="C10" i="6"/>
  <c r="B10" i="6"/>
  <c r="K15" i="5"/>
  <c r="J15" i="5"/>
  <c r="I15" i="5"/>
  <c r="H15" i="5"/>
  <c r="G15" i="5"/>
  <c r="F15" i="5"/>
  <c r="E15" i="5"/>
  <c r="D15" i="5"/>
  <c r="C15" i="5"/>
  <c r="B15" i="5"/>
  <c r="K14" i="5"/>
  <c r="J14" i="5"/>
  <c r="I14" i="5"/>
  <c r="H14" i="5"/>
  <c r="G14" i="5"/>
  <c r="F14" i="5"/>
  <c r="E14" i="5"/>
  <c r="D14" i="5"/>
  <c r="C14" i="5"/>
  <c r="B14" i="5"/>
  <c r="K13" i="5"/>
  <c r="J13" i="5"/>
  <c r="I13" i="5"/>
  <c r="H13" i="5"/>
  <c r="G13" i="5"/>
  <c r="F13" i="5"/>
  <c r="E13" i="5"/>
  <c r="D13" i="5"/>
  <c r="C13" i="5"/>
  <c r="B13" i="5"/>
  <c r="K12" i="5"/>
  <c r="J12" i="5"/>
  <c r="I12" i="5"/>
  <c r="H12" i="5"/>
  <c r="G12" i="5"/>
  <c r="F12" i="5"/>
  <c r="E12" i="5"/>
  <c r="D12" i="5"/>
  <c r="C12" i="5"/>
  <c r="B12" i="5"/>
  <c r="K11" i="5"/>
  <c r="J11" i="5"/>
  <c r="I11" i="5"/>
  <c r="H11" i="5"/>
  <c r="G11" i="5"/>
  <c r="F11" i="5"/>
  <c r="E11" i="5"/>
  <c r="D11" i="5"/>
  <c r="C11" i="5"/>
  <c r="B11" i="5"/>
  <c r="K10" i="5"/>
  <c r="J10" i="5"/>
  <c r="I10" i="5"/>
  <c r="H10" i="5"/>
  <c r="G10" i="5"/>
  <c r="F10" i="5"/>
  <c r="E10" i="5"/>
  <c r="D10" i="5"/>
  <c r="C10" i="5"/>
  <c r="B10" i="5"/>
  <c r="K15" i="4"/>
  <c r="J15" i="4"/>
  <c r="I15" i="4"/>
  <c r="H15" i="4"/>
  <c r="G15" i="4"/>
  <c r="F15" i="4"/>
  <c r="E15" i="4"/>
  <c r="D15" i="4"/>
  <c r="C15" i="4"/>
  <c r="B15" i="4"/>
  <c r="K14" i="4"/>
  <c r="J14" i="4"/>
  <c r="I14" i="4"/>
  <c r="H14" i="4"/>
  <c r="G14" i="4"/>
  <c r="F14" i="4"/>
  <c r="E14" i="4"/>
  <c r="D14" i="4"/>
  <c r="C14" i="4"/>
  <c r="B14" i="4"/>
  <c r="K13" i="4"/>
  <c r="J13" i="4"/>
  <c r="I13" i="4"/>
  <c r="H13" i="4"/>
  <c r="G13" i="4"/>
  <c r="F13" i="4"/>
  <c r="E13" i="4"/>
  <c r="D13" i="4"/>
  <c r="C13" i="4"/>
  <c r="B13" i="4"/>
  <c r="K12" i="4"/>
  <c r="J12" i="4"/>
  <c r="I12" i="4"/>
  <c r="H12" i="4"/>
  <c r="G12" i="4"/>
  <c r="F12" i="4"/>
  <c r="E12" i="4"/>
  <c r="D12" i="4"/>
  <c r="C12" i="4"/>
  <c r="B12" i="4"/>
  <c r="K11" i="4"/>
  <c r="J11" i="4"/>
  <c r="I11" i="4"/>
  <c r="H11" i="4"/>
  <c r="G11" i="4"/>
  <c r="F11" i="4"/>
  <c r="E11" i="4"/>
  <c r="D11" i="4"/>
  <c r="C11" i="4"/>
  <c r="B11" i="4"/>
  <c r="K10" i="4"/>
  <c r="J10" i="4"/>
  <c r="I10" i="4"/>
  <c r="H10" i="4"/>
  <c r="G10" i="4"/>
  <c r="F10" i="4"/>
  <c r="E10" i="4"/>
  <c r="D10" i="4"/>
  <c r="C10" i="4"/>
  <c r="B10" i="4"/>
  <c r="L73" i="2"/>
  <c r="V23" i="2" s="1"/>
  <c r="L72" i="2"/>
  <c r="U23" i="2" s="1"/>
  <c r="L71" i="2"/>
  <c r="L70" i="2"/>
  <c r="L69" i="2"/>
  <c r="L68" i="2"/>
  <c r="L63" i="2"/>
  <c r="L62" i="2"/>
  <c r="L61" i="2"/>
  <c r="L60" i="2"/>
  <c r="L59" i="2"/>
  <c r="L58" i="2"/>
  <c r="L53" i="2"/>
  <c r="L52" i="2"/>
  <c r="L51" i="2"/>
  <c r="T21" i="2" s="1"/>
  <c r="L50" i="2"/>
  <c r="L49" i="2"/>
  <c r="L48" i="2"/>
  <c r="L44" i="2"/>
  <c r="L43" i="2"/>
  <c r="L42" i="2"/>
  <c r="L41" i="2"/>
  <c r="L40" i="2"/>
  <c r="L39" i="2"/>
  <c r="L35" i="2"/>
  <c r="L34" i="2"/>
  <c r="L33" i="2"/>
  <c r="L32" i="2"/>
  <c r="L31" i="2"/>
  <c r="L30" i="2"/>
  <c r="L26" i="2"/>
  <c r="L25" i="2"/>
  <c r="V24" i="2"/>
  <c r="U24" i="2"/>
  <c r="T24" i="2"/>
  <c r="S24" i="2"/>
  <c r="R24" i="2"/>
  <c r="Q24" i="2"/>
  <c r="L24" i="2"/>
  <c r="T23" i="2"/>
  <c r="S23" i="2"/>
  <c r="R23" i="2"/>
  <c r="Q23" i="2"/>
  <c r="L23" i="2"/>
  <c r="V22" i="2"/>
  <c r="U22" i="2"/>
  <c r="T22" i="2"/>
  <c r="S22" i="2"/>
  <c r="R22" i="2"/>
  <c r="Q22" i="2"/>
  <c r="L22" i="2"/>
  <c r="V21" i="2"/>
  <c r="U21" i="2"/>
  <c r="S21" i="2"/>
  <c r="R21" i="2"/>
  <c r="Q21" i="2"/>
  <c r="L21" i="2"/>
  <c r="L17" i="2"/>
  <c r="L16" i="2"/>
  <c r="L15" i="2"/>
  <c r="L14" i="2"/>
  <c r="L13" i="2"/>
  <c r="L12" i="2"/>
  <c r="L8" i="2"/>
  <c r="L7" i="2"/>
  <c r="U20" i="2" s="1"/>
  <c r="L6" i="2"/>
  <c r="T20" i="2" s="1"/>
  <c r="L5" i="2"/>
  <c r="V20" i="2" s="1"/>
  <c r="L4" i="2"/>
  <c r="R20" i="2" s="1"/>
  <c r="L3" i="2"/>
  <c r="Q20" i="2" s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K19" i="1"/>
  <c r="J19" i="1"/>
  <c r="I19" i="1"/>
  <c r="H19" i="1"/>
  <c r="G19" i="1"/>
  <c r="F19" i="1"/>
  <c r="E19" i="1"/>
  <c r="D19" i="1"/>
  <c r="C19" i="1"/>
  <c r="B19" i="1"/>
  <c r="K18" i="1"/>
  <c r="J18" i="1"/>
  <c r="I18" i="1"/>
  <c r="H18" i="1"/>
  <c r="G18" i="1"/>
  <c r="F18" i="1"/>
  <c r="E18" i="1"/>
  <c r="D18" i="1"/>
  <c r="C18" i="1"/>
  <c r="B18" i="1"/>
  <c r="S20" i="2" l="1"/>
</calcChain>
</file>

<file path=xl/sharedStrings.xml><?xml version="1.0" encoding="utf-8"?>
<sst xmlns="http://schemas.openxmlformats.org/spreadsheetml/2006/main" count="343" uniqueCount="44">
  <si>
    <t>Regulator</t>
  </si>
  <si>
    <t>TEST 1</t>
  </si>
  <si>
    <t>Błąd średniokwadratowy MSE - średnia arytmetyczna dla 3 osi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</si>
  <si>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</si>
  <si>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</si>
  <si>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</si>
  <si>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</si>
  <si>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</si>
  <si>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</si>
  <si>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</si>
  <si>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</si>
  <si>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</si>
  <si>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LQR</t>
  </si>
  <si>
    <t>MPC</t>
  </si>
  <si>
    <t>Całkowite zużycie energii [mAh]</t>
  </si>
  <si>
    <t>Test 1</t>
  </si>
  <si>
    <t>Test 2</t>
  </si>
  <si>
    <t>PID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</si>
  <si>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</si>
  <si>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</si>
  <si>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</si>
  <si>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</si>
  <si>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</si>
  <si>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</si>
  <si>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</si>
  <si>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</si>
  <si>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NL PID</t>
  </si>
  <si>
    <t>NN MARMA</t>
  </si>
  <si>
    <t>Średnia</t>
  </si>
  <si>
    <t>NN MRC</t>
  </si>
  <si>
    <t>Zużycie energii - oś "yaw" [mAh]</t>
  </si>
  <si>
    <t>Zużycie energii - oś "pitch"  [mAh]</t>
  </si>
  <si>
    <t>NN NARMA</t>
  </si>
  <si>
    <t>Waga</t>
  </si>
  <si>
    <t>Całkowite żużycie energii</t>
  </si>
  <si>
    <t>MSE - oś "yaw"</t>
  </si>
  <si>
    <t>MSE - oś "pitch"</t>
  </si>
  <si>
    <t>Zużycie energii - oś "roll"  [mAh]</t>
  </si>
  <si>
    <t>MSE - oś "roll"</t>
  </si>
  <si>
    <t>Wynik - średnia ważona</t>
  </si>
  <si>
    <t>Błąd średniokwadratowy MSE - oś "pitch"</t>
  </si>
  <si>
    <t>Błąd średniokwadratowy MSE - oś "yaw"</t>
  </si>
  <si>
    <t>Błąd średniokwadratowy MSE - oś "roll"</t>
  </si>
  <si>
    <t>LQG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</si>
</sst>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13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9"/>
      <color rgb="FF006100"/>
      <name val="Arial"/>
      <family val="2"/>
      <charset val="238"/>
    </font>
    <font>
      <sz val="9"/>
      <color rgb="FF9C0006"/>
      <name val="Arial"/>
      <family val="2"/>
      <charset val="238"/>
    </font>
    <font>
      <i/>
      <sz val="9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color rgb="FF006100"/>
      <name val="Arial"/>
      <family val="2"/>
      <charset val="238"/>
    </font>
    <font>
      <sz val="10"/>
      <color rgb="FF9C0006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57">
    <xf numFmtId="0" fontId="0" fillId="0" borderId="0" xfId="0" applyFont="1" applyAlignment="1"/>
    <xf numFmtId="0" fontId="1" fillId="0" borderId="0" xfId="0" applyFont="1"/>
    <xf numFmtId="0" fontId="1" fillId="0" borderId="3" xfId="0" applyFont="1" applyBorder="1"/>
    <xf numFmtId="2" fontId="1" fillId="0" borderId="3" xfId="0" applyNumberFormat="1" applyFont="1" applyBorder="1"/>
    <xf numFmtId="0" fontId="0" fillId="0" borderId="3" xfId="0" applyFont="1" applyBorder="1" applyAlignment="1">
      <alignment horizontal="center" vertical="center"/>
    </xf>
    <xf numFmtId="0" fontId="0" fillId="0" borderId="0" xfId="0" applyFont="1"/>
    <xf numFmtId="0" fontId="0" fillId="0" borderId="3" xfId="0" applyFont="1" applyBorder="1"/>
    <xf numFmtId="2" fontId="0" fillId="0" borderId="3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0" fillId="0" borderId="0" xfId="0" applyNumberFormat="1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2" fontId="1" fillId="0" borderId="0" xfId="0" applyNumberFormat="1" applyFont="1"/>
    <xf numFmtId="166" fontId="0" fillId="0" borderId="3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6" fillId="2" borderId="3" xfId="1" applyNumberFormat="1" applyFont="1" applyBorder="1" applyAlignment="1">
      <alignment horizontal="center"/>
    </xf>
    <xf numFmtId="165" fontId="7" fillId="3" borderId="3" xfId="2" applyNumberFormat="1" applyFont="1" applyBorder="1" applyAlignment="1">
      <alignment horizontal="center"/>
    </xf>
    <xf numFmtId="0" fontId="5" fillId="0" borderId="3" xfId="0" applyFont="1" applyBorder="1"/>
    <xf numFmtId="0" fontId="8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/>
    <xf numFmtId="0" fontId="1" fillId="0" borderId="2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2" fontId="1" fillId="0" borderId="2" xfId="0" applyNumberFormat="1" applyFont="1" applyBorder="1" applyAlignment="1">
      <alignment horizontal="center"/>
    </xf>
    <xf numFmtId="166" fontId="1" fillId="0" borderId="4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2" borderId="3" xfId="1" applyFont="1" applyBorder="1" applyAlignment="1">
      <alignment horizontal="center" vertical="center"/>
    </xf>
    <xf numFmtId="2" fontId="11" fillId="2" borderId="3" xfId="1" applyNumberFormat="1" applyFont="1" applyBorder="1" applyAlignment="1">
      <alignment horizontal="center"/>
    </xf>
    <xf numFmtId="0" fontId="12" fillId="3" borderId="3" xfId="2" applyFont="1" applyBorder="1" applyAlignment="1">
      <alignment horizontal="center" vertical="center"/>
    </xf>
    <xf numFmtId="2" fontId="12" fillId="3" borderId="3" xfId="2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11" fillId="2" borderId="3" xfId="1" applyNumberFormat="1" applyFont="1" applyBorder="1" applyAlignment="1">
      <alignment horizontal="center"/>
    </xf>
    <xf numFmtId="165" fontId="12" fillId="3" borderId="3" xfId="2" applyNumberFormat="1" applyFont="1" applyBorder="1" applyAlignment="1">
      <alignment horizontal="center"/>
    </xf>
    <xf numFmtId="166" fontId="11" fillId="2" borderId="3" xfId="1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166" fontId="12" fillId="3" borderId="3" xfId="2" applyNumberFormat="1" applyFont="1" applyBorder="1" applyAlignment="1">
      <alignment horizontal="center"/>
    </xf>
  </cellXfs>
  <cellStyles count="3">
    <cellStyle name="Dobry" xfId="1" builtinId="26"/>
    <cellStyle name="Normalny" xfId="0" builtinId="0"/>
    <cellStyle name="Zły" xfId="2" builtinId="27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J11" sqref="J11"/>
    </sheetView>
  </sheetViews>
  <sheetFormatPr defaultColWidth="12.625" defaultRowHeight="15" customHeight="1" x14ac:dyDescent="0.2"/>
  <cols>
    <col min="1" max="1" width="7.5" customWidth="1"/>
    <col min="2" max="11" width="8.125" customWidth="1"/>
    <col min="12" max="26" width="5.75" customWidth="1"/>
  </cols>
  <sheetData>
    <row r="1" spans="1:11" x14ac:dyDescent="0.25"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s="2" t="s">
        <v>12</v>
      </c>
      <c r="B2" s="3">
        <v>188.17706841061801</v>
      </c>
      <c r="C2" s="3">
        <v>809.64264399815204</v>
      </c>
      <c r="D2" s="3">
        <v>1038.2401004866299</v>
      </c>
      <c r="E2" s="3">
        <v>162.209384372746</v>
      </c>
      <c r="F2" s="3">
        <v>853.62541830356895</v>
      </c>
      <c r="G2" s="3">
        <v>1659.86446518452</v>
      </c>
      <c r="H2" s="3">
        <v>295.63854965649801</v>
      </c>
      <c r="I2" s="3">
        <v>927.69245473920103</v>
      </c>
      <c r="J2" s="3">
        <v>600.31467036913205</v>
      </c>
      <c r="K2" s="3">
        <v>885.89856454268795</v>
      </c>
    </row>
    <row r="3" spans="1:11" x14ac:dyDescent="0.25">
      <c r="A3" s="2" t="s">
        <v>13</v>
      </c>
      <c r="B3" s="3">
        <v>194.83606208835801</v>
      </c>
      <c r="C3" s="3">
        <v>861.08738403306404</v>
      </c>
      <c r="D3" s="3">
        <v>1071.6607955053701</v>
      </c>
      <c r="E3" s="3">
        <v>162.366707709129</v>
      </c>
      <c r="F3" s="3">
        <v>895.61857343279996</v>
      </c>
      <c r="G3" s="3">
        <v>1719.93654088214</v>
      </c>
      <c r="H3" s="3">
        <v>307.91162679652302</v>
      </c>
      <c r="I3" s="3">
        <v>987.98301355449803</v>
      </c>
      <c r="J3" s="3">
        <v>627.64481373835099</v>
      </c>
      <c r="K3" s="3">
        <v>990.82856842158799</v>
      </c>
    </row>
    <row r="4" spans="1:11" x14ac:dyDescent="0.25">
      <c r="A4" s="2" t="s">
        <v>17</v>
      </c>
      <c r="B4" s="3">
        <v>183.18619693255599</v>
      </c>
      <c r="C4" s="3">
        <v>797.04287819204899</v>
      </c>
      <c r="D4" s="3">
        <v>1018.98737101336</v>
      </c>
      <c r="E4" s="3">
        <v>143.777452914213</v>
      </c>
      <c r="F4" s="3">
        <v>862.13858621117197</v>
      </c>
      <c r="G4" s="3">
        <v>1652.57241490962</v>
      </c>
      <c r="H4" s="3">
        <v>285.55442131401998</v>
      </c>
      <c r="I4" s="3">
        <v>877.92065313211594</v>
      </c>
      <c r="J4" s="3">
        <v>569.75186522408103</v>
      </c>
      <c r="K4" s="3">
        <v>829.881361637071</v>
      </c>
    </row>
    <row r="5" spans="1:11" x14ac:dyDescent="0.25">
      <c r="A5" s="2" t="s">
        <v>26</v>
      </c>
      <c r="B5" s="3">
        <v>182.94802304744599</v>
      </c>
      <c r="C5" s="3">
        <v>794.19716109776402</v>
      </c>
      <c r="D5" s="3">
        <v>1009.8977802149</v>
      </c>
      <c r="E5" s="3">
        <v>124.8290880022</v>
      </c>
      <c r="F5" s="3">
        <v>842.47903793995897</v>
      </c>
      <c r="G5" s="3">
        <v>1606.9034793818</v>
      </c>
      <c r="H5" s="3">
        <v>279.85275102434002</v>
      </c>
      <c r="I5" s="3">
        <v>855.89694880194395</v>
      </c>
      <c r="J5" s="3">
        <v>544.929498721257</v>
      </c>
      <c r="K5" s="3">
        <v>776.73153306942004</v>
      </c>
    </row>
    <row r="6" spans="1:11" x14ac:dyDescent="0.25">
      <c r="A6" s="2" t="s">
        <v>27</v>
      </c>
      <c r="B6" s="3">
        <v>200.21879632702701</v>
      </c>
      <c r="C6" s="3">
        <v>906.560917605383</v>
      </c>
      <c r="D6" s="3">
        <v>1109.10411965035</v>
      </c>
      <c r="E6" s="3">
        <v>199.78162550239099</v>
      </c>
      <c r="F6" s="3">
        <v>957.56238968174205</v>
      </c>
      <c r="G6" s="3">
        <v>1820.4062936534899</v>
      </c>
      <c r="H6" s="3">
        <v>332.01593138332998</v>
      </c>
      <c r="I6" s="3">
        <v>1041.7428900390901</v>
      </c>
      <c r="J6" s="3">
        <v>685.54861362662905</v>
      </c>
      <c r="K6" s="3">
        <v>1152.4845836557899</v>
      </c>
    </row>
    <row r="7" spans="1:11" x14ac:dyDescent="0.25">
      <c r="A7" s="2" t="s">
        <v>29</v>
      </c>
      <c r="B7" s="3">
        <v>187.59337494840801</v>
      </c>
      <c r="C7" s="3">
        <v>809.56316316694199</v>
      </c>
      <c r="D7" s="3">
        <v>1042.29978061307</v>
      </c>
      <c r="E7" s="3">
        <v>171.309707653017</v>
      </c>
      <c r="F7" s="3">
        <v>866.25471825030195</v>
      </c>
      <c r="G7" s="3">
        <v>1679.61202278056</v>
      </c>
      <c r="H7" s="3">
        <v>300.991656124016</v>
      </c>
      <c r="I7" s="3">
        <v>943.38625825822896</v>
      </c>
      <c r="J7" s="3">
        <v>616.90464161845796</v>
      </c>
      <c r="K7" s="3">
        <v>915.22433876036098</v>
      </c>
    </row>
    <row r="16" spans="1:11" x14ac:dyDescent="0.2">
      <c r="A16" s="27" t="s">
        <v>0</v>
      </c>
      <c r="B16" s="29" t="s">
        <v>14</v>
      </c>
      <c r="C16" s="30"/>
      <c r="D16" s="30"/>
      <c r="E16" s="30"/>
      <c r="F16" s="30"/>
      <c r="G16" s="30"/>
      <c r="H16" s="30"/>
      <c r="I16" s="30"/>
      <c r="J16" s="30"/>
      <c r="K16" s="31"/>
    </row>
    <row r="17" spans="1:11" ht="14.25" x14ac:dyDescent="0.2">
      <c r="A17" s="28"/>
      <c r="B17" s="4" t="s">
        <v>15</v>
      </c>
      <c r="C17" s="4" t="s">
        <v>16</v>
      </c>
      <c r="D17" s="4" t="s">
        <v>18</v>
      </c>
      <c r="E17" s="4" t="s">
        <v>19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24</v>
      </c>
      <c r="K17" s="4" t="s">
        <v>25</v>
      </c>
    </row>
    <row r="18" spans="1:11" x14ac:dyDescent="0.25">
      <c r="A18" s="6" t="s">
        <v>12</v>
      </c>
      <c r="B18" s="10">
        <f t="shared" ref="B18:K18" si="0">B2*0.277</f>
        <v>52.125047949741194</v>
      </c>
      <c r="C18" s="10">
        <f t="shared" si="0"/>
        <v>224.27101238748813</v>
      </c>
      <c r="D18" s="10">
        <f t="shared" si="0"/>
        <v>287.59250783479649</v>
      </c>
      <c r="E18" s="10">
        <f t="shared" si="0"/>
        <v>44.931999471250649</v>
      </c>
      <c r="F18" s="10">
        <f t="shared" si="0"/>
        <v>236.45424087008863</v>
      </c>
      <c r="G18" s="10">
        <f t="shared" si="0"/>
        <v>459.78245685611205</v>
      </c>
      <c r="H18" s="10">
        <f t="shared" si="0"/>
        <v>81.891878254849956</v>
      </c>
      <c r="I18" s="10">
        <f t="shared" si="0"/>
        <v>256.97080996275872</v>
      </c>
      <c r="J18" s="10">
        <f t="shared" si="0"/>
        <v>166.28716369224958</v>
      </c>
      <c r="K18" s="10">
        <f t="shared" si="0"/>
        <v>245.39390237832458</v>
      </c>
    </row>
    <row r="19" spans="1:11" x14ac:dyDescent="0.25">
      <c r="A19" s="6" t="s">
        <v>13</v>
      </c>
      <c r="B19" s="10">
        <f t="shared" ref="B19:K19" si="1">B3*0.277</f>
        <v>53.96958919847517</v>
      </c>
      <c r="C19" s="10">
        <f t="shared" si="1"/>
        <v>238.52120537715876</v>
      </c>
      <c r="D19" s="10">
        <f t="shared" si="1"/>
        <v>296.85004035498753</v>
      </c>
      <c r="E19" s="10">
        <f t="shared" si="1"/>
        <v>44.97557803542874</v>
      </c>
      <c r="F19" s="10">
        <f t="shared" si="1"/>
        <v>248.0863448408856</v>
      </c>
      <c r="G19" s="10">
        <f t="shared" si="1"/>
        <v>476.4224218243528</v>
      </c>
      <c r="H19" s="10">
        <f t="shared" si="1"/>
        <v>85.291520622636881</v>
      </c>
      <c r="I19" s="10">
        <f t="shared" si="1"/>
        <v>273.67129475459598</v>
      </c>
      <c r="J19" s="10">
        <f t="shared" si="1"/>
        <v>173.85761340552324</v>
      </c>
      <c r="K19" s="10">
        <f t="shared" si="1"/>
        <v>274.4595134527799</v>
      </c>
    </row>
    <row r="20" spans="1:11" x14ac:dyDescent="0.25">
      <c r="A20" s="6" t="s">
        <v>17</v>
      </c>
      <c r="B20" s="10">
        <f t="shared" ref="B20:K20" si="2">B4*0.277</f>
        <v>50.742576550318013</v>
      </c>
      <c r="C20" s="10">
        <f t="shared" si="2"/>
        <v>220.78087725919758</v>
      </c>
      <c r="D20" s="10">
        <f t="shared" si="2"/>
        <v>282.25950177070075</v>
      </c>
      <c r="E20" s="10">
        <f t="shared" si="2"/>
        <v>39.826354457237002</v>
      </c>
      <c r="F20" s="10">
        <f t="shared" si="2"/>
        <v>238.81238838049467</v>
      </c>
      <c r="G20" s="10">
        <f t="shared" si="2"/>
        <v>457.76255892996477</v>
      </c>
      <c r="H20" s="10">
        <f t="shared" si="2"/>
        <v>79.098574703983545</v>
      </c>
      <c r="I20" s="10">
        <f t="shared" si="2"/>
        <v>243.18402091759614</v>
      </c>
      <c r="J20" s="10">
        <f t="shared" si="2"/>
        <v>157.82126666707046</v>
      </c>
      <c r="K20" s="10">
        <f t="shared" si="2"/>
        <v>229.8771371734687</v>
      </c>
    </row>
    <row r="21" spans="1:11" ht="15.75" customHeight="1" x14ac:dyDescent="0.25">
      <c r="A21" s="6" t="s">
        <v>26</v>
      </c>
      <c r="B21" s="10">
        <f t="shared" ref="B21:K21" si="3">B5*0.277</f>
        <v>50.676602384142541</v>
      </c>
      <c r="C21" s="10">
        <f t="shared" si="3"/>
        <v>219.99261362408066</v>
      </c>
      <c r="D21" s="10">
        <f t="shared" si="3"/>
        <v>279.74168511952729</v>
      </c>
      <c r="E21" s="10">
        <f t="shared" si="3"/>
        <v>34.577657376609402</v>
      </c>
      <c r="F21" s="10">
        <f t="shared" si="3"/>
        <v>233.36669350936864</v>
      </c>
      <c r="G21" s="10">
        <f t="shared" si="3"/>
        <v>445.11226378875864</v>
      </c>
      <c r="H21" s="10">
        <f t="shared" si="3"/>
        <v>77.519212033742193</v>
      </c>
      <c r="I21" s="10">
        <f t="shared" si="3"/>
        <v>237.08345481813851</v>
      </c>
      <c r="J21" s="10">
        <f t="shared" si="3"/>
        <v>150.94547114578819</v>
      </c>
      <c r="K21" s="10">
        <f t="shared" si="3"/>
        <v>215.15463466022936</v>
      </c>
    </row>
    <row r="22" spans="1:11" ht="15.75" customHeight="1" x14ac:dyDescent="0.25">
      <c r="A22" s="6" t="s">
        <v>27</v>
      </c>
      <c r="B22" s="10">
        <f t="shared" ref="B22:K22" si="4">B6*0.277</f>
        <v>55.460606582586486</v>
      </c>
      <c r="C22" s="10">
        <f t="shared" si="4"/>
        <v>251.1173741766911</v>
      </c>
      <c r="D22" s="10">
        <f t="shared" si="4"/>
        <v>307.22184114314695</v>
      </c>
      <c r="E22" s="10">
        <f t="shared" si="4"/>
        <v>55.339510264162307</v>
      </c>
      <c r="F22" s="10">
        <f t="shared" si="4"/>
        <v>265.24478194184258</v>
      </c>
      <c r="G22" s="10">
        <f t="shared" si="4"/>
        <v>504.25254334201674</v>
      </c>
      <c r="H22" s="10">
        <f t="shared" si="4"/>
        <v>91.968412993182412</v>
      </c>
      <c r="I22" s="10">
        <f t="shared" si="4"/>
        <v>288.56278054082799</v>
      </c>
      <c r="J22" s="10">
        <f t="shared" si="4"/>
        <v>189.89696597457626</v>
      </c>
      <c r="K22" s="10">
        <f t="shared" si="4"/>
        <v>319.23822967265386</v>
      </c>
    </row>
    <row r="23" spans="1:11" ht="15.75" customHeight="1" x14ac:dyDescent="0.25">
      <c r="A23" s="6" t="s">
        <v>29</v>
      </c>
      <c r="B23" s="10">
        <f t="shared" ref="B23:K23" si="5">B7*0.277</f>
        <v>51.963364860709021</v>
      </c>
      <c r="C23" s="10">
        <f t="shared" si="5"/>
        <v>224.24899619724295</v>
      </c>
      <c r="D23" s="10">
        <f t="shared" si="5"/>
        <v>288.71703922982039</v>
      </c>
      <c r="E23" s="10">
        <f t="shared" si="5"/>
        <v>47.452789019885714</v>
      </c>
      <c r="F23" s="10">
        <f t="shared" si="5"/>
        <v>239.95255695533365</v>
      </c>
      <c r="G23" s="10">
        <f t="shared" si="5"/>
        <v>465.25253031021515</v>
      </c>
      <c r="H23" s="10">
        <f t="shared" si="5"/>
        <v>83.374688746352433</v>
      </c>
      <c r="I23" s="10">
        <f t="shared" si="5"/>
        <v>261.31799353752945</v>
      </c>
      <c r="J23" s="10">
        <f t="shared" si="5"/>
        <v>170.88258572831288</v>
      </c>
      <c r="K23" s="10">
        <f t="shared" si="5"/>
        <v>253.51714183662003</v>
      </c>
    </row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6:A17"/>
    <mergeCell ref="B16:K1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topLeftCell="A19" workbookViewId="0">
      <selection activeCell="N12" sqref="N12"/>
    </sheetView>
  </sheetViews>
  <sheetFormatPr defaultColWidth="12.625" defaultRowHeight="15" customHeight="1" x14ac:dyDescent="0.2"/>
  <cols>
    <col min="1" max="1" width="9.75" customWidth="1"/>
    <col min="2" max="12" width="8.25" customWidth="1"/>
    <col min="13" max="15" width="6.625" customWidth="1"/>
    <col min="16" max="16" width="19" customWidth="1"/>
    <col min="17" max="17" width="8" customWidth="1"/>
    <col min="18" max="18" width="7.5" customWidth="1"/>
    <col min="19" max="19" width="7.625" customWidth="1"/>
    <col min="20" max="20" width="7.75" customWidth="1"/>
    <col min="21" max="21" width="10" customWidth="1"/>
    <col min="22" max="22" width="8.125" customWidth="1"/>
    <col min="23" max="23" width="6.5" customWidth="1"/>
    <col min="24" max="26" width="6.625" customWidth="1"/>
  </cols>
  <sheetData>
    <row r="1" spans="1:26" ht="14.25" customHeight="1" x14ac:dyDescent="0.2">
      <c r="A1" s="34" t="s">
        <v>0</v>
      </c>
      <c r="B1" s="35" t="s">
        <v>14</v>
      </c>
      <c r="C1" s="36"/>
      <c r="D1" s="36"/>
      <c r="E1" s="36"/>
      <c r="F1" s="36"/>
      <c r="G1" s="36"/>
      <c r="H1" s="36"/>
      <c r="I1" s="36"/>
      <c r="J1" s="36"/>
      <c r="K1" s="36"/>
      <c r="L1" s="3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">
      <c r="A2" s="38"/>
      <c r="B2" s="39" t="s">
        <v>15</v>
      </c>
      <c r="C2" s="39" t="s">
        <v>16</v>
      </c>
      <c r="D2" s="39" t="s">
        <v>18</v>
      </c>
      <c r="E2" s="39" t="s">
        <v>19</v>
      </c>
      <c r="F2" s="39" t="s">
        <v>20</v>
      </c>
      <c r="G2" s="39" t="s">
        <v>21</v>
      </c>
      <c r="H2" s="39" t="s">
        <v>22</v>
      </c>
      <c r="I2" s="39" t="s">
        <v>23</v>
      </c>
      <c r="J2" s="39" t="s">
        <v>24</v>
      </c>
      <c r="K2" s="39" t="s">
        <v>25</v>
      </c>
      <c r="L2" s="39" t="s">
        <v>28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2">
      <c r="A3" s="40" t="s">
        <v>43</v>
      </c>
      <c r="B3" s="41">
        <v>52.125047949741194</v>
      </c>
      <c r="C3" s="41">
        <v>224.27101238748813</v>
      </c>
      <c r="D3" s="41">
        <v>287.59250783479649</v>
      </c>
      <c r="E3" s="41">
        <v>44.931999471250649</v>
      </c>
      <c r="F3" s="41">
        <v>236.45424087008863</v>
      </c>
      <c r="G3" s="41">
        <v>459.78245685611205</v>
      </c>
      <c r="H3" s="41">
        <v>81.891878254849956</v>
      </c>
      <c r="I3" s="41">
        <v>256.97080996275872</v>
      </c>
      <c r="J3" s="41">
        <v>166.28716369224958</v>
      </c>
      <c r="K3" s="41">
        <v>245.39390237832458</v>
      </c>
      <c r="L3" s="42">
        <f t="shared" ref="L3:L8" si="0">AVERAGE(B3:K3)</f>
        <v>205.57010196576599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">
      <c r="A4" s="40" t="s">
        <v>13</v>
      </c>
      <c r="B4" s="41">
        <v>53.96958919847517</v>
      </c>
      <c r="C4" s="41">
        <v>238.52120537715876</v>
      </c>
      <c r="D4" s="41">
        <v>296.85004035498753</v>
      </c>
      <c r="E4" s="41">
        <v>44.97557803542874</v>
      </c>
      <c r="F4" s="41">
        <v>248.0863448408856</v>
      </c>
      <c r="G4" s="41">
        <v>476.4224218243528</v>
      </c>
      <c r="H4" s="41">
        <v>85.291520622636881</v>
      </c>
      <c r="I4" s="41">
        <v>273.67129475459598</v>
      </c>
      <c r="J4" s="41">
        <v>173.85761340552324</v>
      </c>
      <c r="K4" s="41">
        <v>274.4595134527799</v>
      </c>
      <c r="L4" s="42">
        <f t="shared" si="0"/>
        <v>216.61051218668246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">
      <c r="A5" s="40" t="s">
        <v>17</v>
      </c>
      <c r="B5" s="41">
        <v>50.742576550318013</v>
      </c>
      <c r="C5" s="41">
        <v>220.78087725919758</v>
      </c>
      <c r="D5" s="41">
        <v>282.25950177070075</v>
      </c>
      <c r="E5" s="41">
        <v>39.826354457237002</v>
      </c>
      <c r="F5" s="41">
        <v>238.81238838049467</v>
      </c>
      <c r="G5" s="41">
        <v>457.76255892996477</v>
      </c>
      <c r="H5" s="41">
        <v>79.098574703983545</v>
      </c>
      <c r="I5" s="41">
        <v>243.18402091759614</v>
      </c>
      <c r="J5" s="41">
        <v>157.82126666707046</v>
      </c>
      <c r="K5" s="41">
        <v>229.8771371734687</v>
      </c>
      <c r="L5" s="42">
        <f t="shared" si="0"/>
        <v>200.01652568100317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2">
      <c r="A6" s="47" t="s">
        <v>26</v>
      </c>
      <c r="B6" s="48">
        <v>50.676602384142541</v>
      </c>
      <c r="C6" s="48">
        <v>219.99261362408066</v>
      </c>
      <c r="D6" s="48">
        <v>279.74168511952729</v>
      </c>
      <c r="E6" s="48">
        <v>34.577657376609402</v>
      </c>
      <c r="F6" s="48">
        <v>233.36669350936864</v>
      </c>
      <c r="G6" s="48">
        <v>445.11226378875864</v>
      </c>
      <c r="H6" s="48">
        <v>77.519212033742193</v>
      </c>
      <c r="I6" s="48">
        <v>237.08345481813851</v>
      </c>
      <c r="J6" s="48">
        <v>150.94547114578819</v>
      </c>
      <c r="K6" s="48">
        <v>215.15463466022936</v>
      </c>
      <c r="L6" s="48">
        <f t="shared" si="0"/>
        <v>194.41702884603856</v>
      </c>
      <c r="M6" s="18"/>
      <c r="N6" s="5"/>
      <c r="W6" s="5"/>
      <c r="X6" s="5"/>
      <c r="Y6" s="5"/>
      <c r="Z6" s="5"/>
    </row>
    <row r="7" spans="1:26" ht="14.25" customHeight="1" x14ac:dyDescent="0.2">
      <c r="A7" s="49" t="s">
        <v>27</v>
      </c>
      <c r="B7" s="50">
        <v>55.460606582586486</v>
      </c>
      <c r="C7" s="50">
        <v>251.1173741766911</v>
      </c>
      <c r="D7" s="50">
        <v>307.22184114314695</v>
      </c>
      <c r="E7" s="50">
        <v>55.339510264162307</v>
      </c>
      <c r="F7" s="50">
        <v>265.24478194184258</v>
      </c>
      <c r="G7" s="50">
        <v>504.25254334201674</v>
      </c>
      <c r="H7" s="50">
        <v>91.968412993182412</v>
      </c>
      <c r="I7" s="50">
        <v>288.56278054082799</v>
      </c>
      <c r="J7" s="50">
        <v>189.89696597457626</v>
      </c>
      <c r="K7" s="50">
        <v>319.23822967265386</v>
      </c>
      <c r="L7" s="50">
        <f t="shared" si="0"/>
        <v>232.83030466316868</v>
      </c>
      <c r="M7" s="5"/>
      <c r="N7" s="5"/>
      <c r="W7" s="5"/>
      <c r="X7" s="5"/>
      <c r="Y7" s="5"/>
      <c r="Z7" s="5"/>
    </row>
    <row r="8" spans="1:26" ht="14.25" customHeight="1" x14ac:dyDescent="0.2">
      <c r="A8" s="40" t="s">
        <v>29</v>
      </c>
      <c r="B8" s="41">
        <v>51.963364860709021</v>
      </c>
      <c r="C8" s="41">
        <v>224.24899619724295</v>
      </c>
      <c r="D8" s="41">
        <v>288.71703922982039</v>
      </c>
      <c r="E8" s="41">
        <v>47.452789019885714</v>
      </c>
      <c r="F8" s="41">
        <v>239.95255695533365</v>
      </c>
      <c r="G8" s="41">
        <v>465.25253031021515</v>
      </c>
      <c r="H8" s="41">
        <v>83.374688746352433</v>
      </c>
      <c r="I8" s="41">
        <v>261.31799353752945</v>
      </c>
      <c r="J8" s="41">
        <v>170.88258572831288</v>
      </c>
      <c r="K8" s="41">
        <v>253.51714183662003</v>
      </c>
      <c r="L8" s="42">
        <f t="shared" si="0"/>
        <v>208.66796864220214</v>
      </c>
      <c r="M8" s="5"/>
      <c r="N8" s="5"/>
      <c r="U8" s="11"/>
      <c r="W8" s="5"/>
      <c r="X8" s="5"/>
      <c r="Y8" s="5"/>
      <c r="Z8" s="5"/>
    </row>
    <row r="9" spans="1:26" ht="14.25" customHeight="1" x14ac:dyDescent="0.2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  <c r="M9" s="5"/>
      <c r="N9" s="5"/>
      <c r="U9" s="11"/>
      <c r="W9" s="5"/>
      <c r="X9" s="5"/>
      <c r="Y9" s="5"/>
      <c r="Z9" s="5"/>
    </row>
    <row r="10" spans="1:26" ht="14.25" customHeight="1" x14ac:dyDescent="0.2">
      <c r="A10" s="34" t="s">
        <v>0</v>
      </c>
      <c r="B10" s="35" t="s">
        <v>30</v>
      </c>
      <c r="C10" s="36"/>
      <c r="D10" s="36"/>
      <c r="E10" s="36"/>
      <c r="F10" s="36"/>
      <c r="G10" s="36"/>
      <c r="H10" s="36"/>
      <c r="I10" s="36"/>
      <c r="J10" s="36"/>
      <c r="K10" s="36"/>
      <c r="L10" s="37"/>
      <c r="M10" s="5"/>
      <c r="N10" s="5"/>
      <c r="U10" s="11"/>
      <c r="W10" s="5"/>
      <c r="X10" s="5"/>
      <c r="Y10" s="5"/>
      <c r="Z10" s="5"/>
    </row>
    <row r="11" spans="1:26" ht="14.25" customHeight="1" x14ac:dyDescent="0.2">
      <c r="A11" s="38"/>
      <c r="B11" s="39" t="s">
        <v>15</v>
      </c>
      <c r="C11" s="39" t="s">
        <v>16</v>
      </c>
      <c r="D11" s="39" t="s">
        <v>18</v>
      </c>
      <c r="E11" s="39" t="s">
        <v>19</v>
      </c>
      <c r="F11" s="39" t="s">
        <v>20</v>
      </c>
      <c r="G11" s="39" t="s">
        <v>21</v>
      </c>
      <c r="H11" s="39" t="s">
        <v>22</v>
      </c>
      <c r="I11" s="39" t="s">
        <v>23</v>
      </c>
      <c r="J11" s="39" t="s">
        <v>24</v>
      </c>
      <c r="K11" s="39" t="s">
        <v>25</v>
      </c>
      <c r="L11" s="39" t="s">
        <v>28</v>
      </c>
      <c r="M11" s="5"/>
      <c r="N11" s="5"/>
      <c r="U11" s="11"/>
      <c r="W11" s="5"/>
      <c r="X11" s="5"/>
      <c r="Y11" s="5"/>
      <c r="Z11" s="5"/>
    </row>
    <row r="12" spans="1:26" ht="14.25" customHeight="1" x14ac:dyDescent="0.2">
      <c r="A12" s="40" t="s">
        <v>43</v>
      </c>
      <c r="B12" s="41">
        <v>17.432294292420835</v>
      </c>
      <c r="C12" s="42">
        <v>92.867429326122064</v>
      </c>
      <c r="D12" s="42">
        <v>121.87253470230388</v>
      </c>
      <c r="E12" s="42">
        <v>15.608371641301282</v>
      </c>
      <c r="F12" s="42">
        <v>70.983242360737634</v>
      </c>
      <c r="G12" s="42">
        <v>159.34091492451569</v>
      </c>
      <c r="H12" s="42">
        <v>20.266807510534374</v>
      </c>
      <c r="I12" s="42">
        <v>111.61279666486631</v>
      </c>
      <c r="J12" s="42">
        <v>43.807235852849075</v>
      </c>
      <c r="K12" s="42">
        <v>41.460053411932897</v>
      </c>
      <c r="L12" s="42">
        <f t="shared" ref="L12:L17" si="1">AVERAGE(B12:K12)</f>
        <v>69.525168068758404</v>
      </c>
      <c r="M12" s="5"/>
      <c r="N12" s="5"/>
      <c r="U12" s="11"/>
      <c r="W12" s="5"/>
      <c r="X12" s="5"/>
      <c r="Y12" s="5"/>
      <c r="Z12" s="5"/>
    </row>
    <row r="13" spans="1:26" ht="14.25" customHeight="1" x14ac:dyDescent="0.2">
      <c r="A13" s="40" t="s">
        <v>13</v>
      </c>
      <c r="B13" s="41">
        <v>17.504444660947613</v>
      </c>
      <c r="C13" s="42">
        <v>93.775694467642339</v>
      </c>
      <c r="D13" s="42">
        <v>121.83598216314149</v>
      </c>
      <c r="E13" s="42">
        <v>16.137283356325266</v>
      </c>
      <c r="F13" s="42">
        <v>73.00742570770322</v>
      </c>
      <c r="G13" s="42">
        <v>161.37770310865221</v>
      </c>
      <c r="H13" s="42">
        <v>21.053701739354544</v>
      </c>
      <c r="I13" s="42">
        <v>112.68111531500291</v>
      </c>
      <c r="J13" s="42">
        <v>44.919404282704626</v>
      </c>
      <c r="K13" s="42">
        <v>47.754676937957349</v>
      </c>
      <c r="L13" s="42">
        <f t="shared" si="1"/>
        <v>71.004743173943154</v>
      </c>
      <c r="M13" s="5"/>
      <c r="N13" s="5"/>
      <c r="U13" s="11"/>
      <c r="W13" s="5"/>
      <c r="X13" s="5"/>
      <c r="Y13" s="5"/>
      <c r="Z13" s="5"/>
    </row>
    <row r="14" spans="1:26" ht="14.25" customHeight="1" x14ac:dyDescent="0.2">
      <c r="A14" s="40" t="s">
        <v>17</v>
      </c>
      <c r="B14" s="41">
        <v>20.67958183634018</v>
      </c>
      <c r="C14" s="42">
        <v>92.661016256275289</v>
      </c>
      <c r="D14" s="42">
        <v>121.0928864847042</v>
      </c>
      <c r="E14" s="42">
        <v>15.103693237559309</v>
      </c>
      <c r="F14" s="42">
        <v>60.452723574967884</v>
      </c>
      <c r="G14" s="42">
        <v>151.82261679003079</v>
      </c>
      <c r="H14" s="42">
        <v>19.995952355156962</v>
      </c>
      <c r="I14" s="42">
        <v>57.382988913124592</v>
      </c>
      <c r="J14" s="42">
        <v>43.164444900250921</v>
      </c>
      <c r="K14" s="42">
        <v>39.241933469272972</v>
      </c>
      <c r="L14" s="42">
        <f t="shared" si="1"/>
        <v>62.159783781768319</v>
      </c>
      <c r="M14" s="5"/>
      <c r="N14" s="5"/>
      <c r="Q14" s="5"/>
      <c r="R14" s="5"/>
      <c r="S14" s="5"/>
      <c r="T14" s="5"/>
      <c r="W14" s="5"/>
      <c r="X14" s="5"/>
      <c r="Y14" s="5"/>
      <c r="Z14" s="5"/>
    </row>
    <row r="15" spans="1:26" ht="14.25" customHeight="1" x14ac:dyDescent="0.2">
      <c r="A15" s="47" t="s">
        <v>26</v>
      </c>
      <c r="B15" s="48">
        <v>20.675219289563753</v>
      </c>
      <c r="C15" s="48">
        <v>92.636071558324275</v>
      </c>
      <c r="D15" s="48">
        <v>120.78963561104821</v>
      </c>
      <c r="E15" s="48">
        <v>14.713843919563187</v>
      </c>
      <c r="F15" s="48">
        <v>60.000163768447237</v>
      </c>
      <c r="G15" s="48">
        <v>150.35447720359545</v>
      </c>
      <c r="H15" s="48">
        <v>19.868159259271565</v>
      </c>
      <c r="I15" s="48">
        <v>57.091517075401619</v>
      </c>
      <c r="J15" s="48">
        <v>42.687937078280378</v>
      </c>
      <c r="K15" s="48">
        <v>37.262993740906865</v>
      </c>
      <c r="L15" s="48">
        <f t="shared" si="1"/>
        <v>61.608001850440246</v>
      </c>
      <c r="M15" s="5"/>
      <c r="N15" s="5"/>
      <c r="W15" s="5"/>
      <c r="X15" s="5"/>
      <c r="Y15" s="5"/>
      <c r="Z15" s="5"/>
    </row>
    <row r="16" spans="1:26" ht="14.25" customHeight="1" x14ac:dyDescent="0.2">
      <c r="A16" s="49" t="s">
        <v>27</v>
      </c>
      <c r="B16" s="50">
        <v>18.158899457206331</v>
      </c>
      <c r="C16" s="50">
        <v>96.173093664824194</v>
      </c>
      <c r="D16" s="50">
        <v>124.5225844651054</v>
      </c>
      <c r="E16" s="50">
        <v>18.967167985139291</v>
      </c>
      <c r="F16" s="50">
        <v>78.040656924336673</v>
      </c>
      <c r="G16" s="50">
        <v>170.26560590024917</v>
      </c>
      <c r="H16" s="50">
        <v>22.927679315026325</v>
      </c>
      <c r="I16" s="50">
        <v>114.99609531097266</v>
      </c>
      <c r="J16" s="50">
        <v>48.098658455929645</v>
      </c>
      <c r="K16" s="50">
        <v>59.522182116046395</v>
      </c>
      <c r="L16" s="50">
        <f t="shared" si="1"/>
        <v>75.167262359483601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2">
      <c r="A17" s="40" t="s">
        <v>29</v>
      </c>
      <c r="B17" s="41">
        <v>18.844494622075494</v>
      </c>
      <c r="C17" s="42">
        <v>93.666756143919997</v>
      </c>
      <c r="D17" s="42">
        <v>127.12027258562738</v>
      </c>
      <c r="E17" s="42">
        <v>16.181701566044314</v>
      </c>
      <c r="F17" s="42">
        <v>73.831104718080226</v>
      </c>
      <c r="G17" s="42">
        <v>167.93647728649336</v>
      </c>
      <c r="H17" s="42">
        <v>20.489845486873676</v>
      </c>
      <c r="I17" s="42">
        <v>113.94299128543959</v>
      </c>
      <c r="J17" s="42">
        <v>44.419758692330888</v>
      </c>
      <c r="K17" s="42">
        <v>42.288128381076206</v>
      </c>
      <c r="L17" s="42">
        <f t="shared" si="1"/>
        <v>71.872153076796124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2">
      <c r="A18" s="43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2">
      <c r="A19" s="34" t="s">
        <v>0</v>
      </c>
      <c r="B19" s="35" t="s">
        <v>31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  <c r="M19" s="5"/>
      <c r="N19" s="5"/>
      <c r="O19" s="5"/>
      <c r="P19" s="24" t="s">
        <v>0</v>
      </c>
      <c r="Q19" s="25" t="s">
        <v>43</v>
      </c>
      <c r="R19" s="25" t="s">
        <v>13</v>
      </c>
      <c r="S19" s="25" t="s">
        <v>17</v>
      </c>
      <c r="T19" s="25" t="s">
        <v>26</v>
      </c>
      <c r="U19" s="25" t="s">
        <v>32</v>
      </c>
      <c r="V19" s="25" t="s">
        <v>29</v>
      </c>
      <c r="W19" s="19" t="s">
        <v>33</v>
      </c>
      <c r="X19" s="5"/>
      <c r="Y19" s="5"/>
      <c r="Z19" s="5"/>
    </row>
    <row r="20" spans="1:26" ht="14.25" customHeight="1" x14ac:dyDescent="0.2">
      <c r="A20" s="38"/>
      <c r="B20" s="39" t="s">
        <v>15</v>
      </c>
      <c r="C20" s="39" t="s">
        <v>16</v>
      </c>
      <c r="D20" s="39" t="s">
        <v>18</v>
      </c>
      <c r="E20" s="39" t="s">
        <v>19</v>
      </c>
      <c r="F20" s="39" t="s">
        <v>20</v>
      </c>
      <c r="G20" s="39" t="s">
        <v>21</v>
      </c>
      <c r="H20" s="39" t="s">
        <v>22</v>
      </c>
      <c r="I20" s="39" t="s">
        <v>23</v>
      </c>
      <c r="J20" s="39" t="s">
        <v>24</v>
      </c>
      <c r="K20" s="39" t="s">
        <v>25</v>
      </c>
      <c r="L20" s="39" t="s">
        <v>28</v>
      </c>
      <c r="M20" s="5"/>
      <c r="N20" s="5"/>
      <c r="O20" s="5"/>
      <c r="P20" s="24" t="s">
        <v>34</v>
      </c>
      <c r="Q20" s="20">
        <f>L3</f>
        <v>205.57010196576599</v>
      </c>
      <c r="R20" s="20">
        <f>L4</f>
        <v>216.61051218668246</v>
      </c>
      <c r="S20" s="20">
        <f>L5</f>
        <v>200.01652568100317</v>
      </c>
      <c r="T20" s="20">
        <f>L6</f>
        <v>194.41702884603856</v>
      </c>
      <c r="U20" s="20">
        <f>L7</f>
        <v>232.83030466316868</v>
      </c>
      <c r="V20" s="20">
        <f>L8</f>
        <v>208.66796864220214</v>
      </c>
      <c r="W20" s="19">
        <v>0.6</v>
      </c>
      <c r="X20" s="5"/>
      <c r="Y20" s="5"/>
      <c r="Z20" s="5"/>
    </row>
    <row r="21" spans="1:26" ht="14.25" customHeight="1" x14ac:dyDescent="0.2">
      <c r="A21" s="40" t="s">
        <v>43</v>
      </c>
      <c r="B21" s="42">
        <v>28.071294600993451</v>
      </c>
      <c r="C21" s="42">
        <v>116.78070363181851</v>
      </c>
      <c r="D21" s="42">
        <v>133.1087159315511</v>
      </c>
      <c r="E21" s="42">
        <v>24.507912516503705</v>
      </c>
      <c r="F21" s="42">
        <v>144.83749982503292</v>
      </c>
      <c r="G21" s="42">
        <v>250.74944572951529</v>
      </c>
      <c r="H21" s="42">
        <v>57.623433454536219</v>
      </c>
      <c r="I21" s="42">
        <v>117.60310606125142</v>
      </c>
      <c r="J21" s="42">
        <v>115.82068847216422</v>
      </c>
      <c r="K21" s="42">
        <v>191.35701563047581</v>
      </c>
      <c r="L21" s="42">
        <f t="shared" ref="L21:L26" si="2">AVERAGE(B21:K21)</f>
        <v>118.04598158538427</v>
      </c>
      <c r="M21" s="5"/>
      <c r="N21" s="5"/>
      <c r="O21" s="5"/>
      <c r="P21" s="24" t="s">
        <v>35</v>
      </c>
      <c r="Q21" s="26">
        <f>L48</f>
        <v>3.1399377355466343E-2</v>
      </c>
      <c r="R21" s="26">
        <f>L49</f>
        <v>3.1865312634084528E-2</v>
      </c>
      <c r="S21" s="26">
        <f>L50</f>
        <v>3.697364220239497E-2</v>
      </c>
      <c r="T21" s="26">
        <f>L51</f>
        <v>3.8476178960295621E-2</v>
      </c>
      <c r="U21" s="26">
        <f>L52</f>
        <v>6.6355758070918563E-2</v>
      </c>
      <c r="V21" s="26">
        <f>L53</f>
        <v>0.41223902974846716</v>
      </c>
      <c r="W21" s="19">
        <v>0.6</v>
      </c>
      <c r="X21" s="5"/>
      <c r="Y21" s="5"/>
      <c r="Z21" s="5"/>
    </row>
    <row r="22" spans="1:26" ht="14.25" customHeight="1" x14ac:dyDescent="0.2">
      <c r="A22" s="40" t="s">
        <v>13</v>
      </c>
      <c r="B22" s="42">
        <v>29.841816853712405</v>
      </c>
      <c r="C22" s="42">
        <v>129.50586281479002</v>
      </c>
      <c r="D22" s="42">
        <v>142.28534132067372</v>
      </c>
      <c r="E22" s="42">
        <v>23.491827799994415</v>
      </c>
      <c r="F22" s="42">
        <v>152.99213992156928</v>
      </c>
      <c r="G22" s="42">
        <v>263.22089007089448</v>
      </c>
      <c r="H22" s="42">
        <v>59.885505683687704</v>
      </c>
      <c r="I22" s="42">
        <v>131.64163836308387</v>
      </c>
      <c r="J22" s="42">
        <v>121.10283434182131</v>
      </c>
      <c r="K22" s="42">
        <v>209.64501829229943</v>
      </c>
      <c r="L22" s="42">
        <f t="shared" si="2"/>
        <v>126.36128754625267</v>
      </c>
      <c r="M22" s="5"/>
      <c r="N22" s="5"/>
      <c r="O22" s="5"/>
      <c r="P22" s="24" t="s">
        <v>36</v>
      </c>
      <c r="Q22" s="26">
        <f>L58</f>
        <v>2.3600582002486055E-2</v>
      </c>
      <c r="R22" s="26">
        <f>L59</f>
        <v>2.3950145619662855E-2</v>
      </c>
      <c r="S22" s="26">
        <f>L60</f>
        <v>2.787698626361413E-2</v>
      </c>
      <c r="T22" s="26">
        <f>L61</f>
        <v>2.9302346039675058E-2</v>
      </c>
      <c r="U22" s="26">
        <f>L62</f>
        <v>5.2641157940212124E-2</v>
      </c>
      <c r="V22" s="26">
        <f>L63</f>
        <v>0.42810829281694307</v>
      </c>
      <c r="W22" s="19">
        <v>0.5</v>
      </c>
      <c r="X22" s="5"/>
      <c r="Y22" s="5"/>
      <c r="Z22" s="5"/>
    </row>
    <row r="23" spans="1:26" ht="14.25" customHeight="1" x14ac:dyDescent="0.2">
      <c r="A23" s="40" t="s">
        <v>17</v>
      </c>
      <c r="B23" s="42">
        <v>24.906376546974606</v>
      </c>
      <c r="C23" s="42">
        <v>113.59220047414006</v>
      </c>
      <c r="D23" s="42">
        <v>129.40944736816681</v>
      </c>
      <c r="E23" s="42">
        <v>20.316524892795279</v>
      </c>
      <c r="F23" s="42">
        <v>159.42843723082643</v>
      </c>
      <c r="G23" s="42">
        <v>257.27356129037156</v>
      </c>
      <c r="H23" s="42">
        <v>55.667783564995815</v>
      </c>
      <c r="I23" s="42">
        <v>162.74885404346986</v>
      </c>
      <c r="J23" s="42">
        <v>108.94994559625124</v>
      </c>
      <c r="K23" s="42">
        <v>181.07911403407937</v>
      </c>
      <c r="L23" s="42">
        <f t="shared" si="2"/>
        <v>121.3372245042071</v>
      </c>
      <c r="M23" s="5"/>
      <c r="N23" s="5"/>
      <c r="O23" s="5"/>
      <c r="P23" s="24" t="s">
        <v>38</v>
      </c>
      <c r="Q23" s="20">
        <f>L68</f>
        <v>349.52230353609946</v>
      </c>
      <c r="R23" s="20">
        <f>L69</f>
        <v>347.63757813508016</v>
      </c>
      <c r="S23" s="20">
        <f>L70</f>
        <v>652.77081826763128</v>
      </c>
      <c r="T23" s="20">
        <f>L71</f>
        <v>652.69324413995355</v>
      </c>
      <c r="U23" s="20">
        <f>L72</f>
        <v>349.53702737523884</v>
      </c>
      <c r="V23" s="20">
        <f>L73</f>
        <v>349.62220948279059</v>
      </c>
      <c r="W23" s="19">
        <v>0.2</v>
      </c>
      <c r="X23" s="5"/>
      <c r="Y23" s="5"/>
      <c r="Z23" s="5"/>
    </row>
    <row r="24" spans="1:26" ht="14.25" customHeight="1" x14ac:dyDescent="0.2">
      <c r="A24" s="47" t="s">
        <v>26</v>
      </c>
      <c r="B24" s="48">
        <v>24.849174698329996</v>
      </c>
      <c r="C24" s="48">
        <v>112.84043430435298</v>
      </c>
      <c r="D24" s="48">
        <v>127.42489680238931</v>
      </c>
      <c r="E24" s="48">
        <v>15.663714844671464</v>
      </c>
      <c r="F24" s="48">
        <v>154.72807809868237</v>
      </c>
      <c r="G24" s="48">
        <v>246.66780087513283</v>
      </c>
      <c r="H24" s="48">
        <v>54.49633465754119</v>
      </c>
      <c r="I24" s="48">
        <v>157.08302259114387</v>
      </c>
      <c r="J24" s="48">
        <v>103.0238194410136</v>
      </c>
      <c r="K24" s="48">
        <v>170.54168875757063</v>
      </c>
      <c r="L24" s="48">
        <f t="shared" si="2"/>
        <v>116.73189650708282</v>
      </c>
      <c r="M24" s="5"/>
      <c r="N24" s="5"/>
      <c r="O24" s="5"/>
      <c r="P24" s="24" t="s">
        <v>39</v>
      </c>
      <c r="Q24" s="22">
        <f ca="1">IFERROR(__xludf.DUMMYFUNCTION("AVERAGE.WEIGHTED(Q20:Q23,$W$20:$W$23)"),101.724822002154)</f>
        <v>101.724822002154</v>
      </c>
      <c r="R24" s="21">
        <f ca="1">IFERROR(__xludf.DUMMYFUNCTION("AVERAGE.WEIGHTED(R20:R23,$W$20:$W$23)"),105.013114315482)</f>
        <v>105.013114315482</v>
      </c>
      <c r="S24" s="23">
        <f ca="1">IFERROR(__xludf.DUMMYFUNCTION("AVERAGE.WEIGHTED(S20:S23,$W$20:$W$23)"),131.894843021358)</f>
        <v>131.89484302135801</v>
      </c>
      <c r="T24" s="21">
        <f ca="1">IFERROR(__xludf.DUMMYFUNCTION("AVERAGE.WEIGHTED(T20:T23,$W$20:$W$23)"),130.119264745268)</f>
        <v>130.119264745268</v>
      </c>
      <c r="U24" s="21">
        <f ca="1">IFERROR(__xludf.DUMMYFUNCTION("AVERAGE.WEIGHTED(U20:U23,$W$20:$W$23)"),110.35353805619)</f>
        <v>110.35353805619</v>
      </c>
      <c r="V24" s="21">
        <f ca="1">IFERROR(__xludf.DUMMYFUNCTION("AVERAGE.WEIGHTED(V20:V23,$W$20:$W$23)"),102.940326655861)</f>
        <v>102.940326655861</v>
      </c>
      <c r="W24" s="19"/>
      <c r="X24" s="5"/>
      <c r="Y24" s="5"/>
      <c r="Z24" s="5"/>
    </row>
    <row r="25" spans="1:26" ht="14.25" customHeight="1" x14ac:dyDescent="0.2">
      <c r="A25" s="49" t="s">
        <v>27</v>
      </c>
      <c r="B25" s="50">
        <v>30.48448622423431</v>
      </c>
      <c r="C25" s="50">
        <v>138.49220626882533</v>
      </c>
      <c r="D25" s="50">
        <v>148.60934166595413</v>
      </c>
      <c r="E25" s="50">
        <v>28.887045523397781</v>
      </c>
      <c r="F25" s="50">
        <v>161.06646349907103</v>
      </c>
      <c r="G25" s="50">
        <v>275.25994367534588</v>
      </c>
      <c r="H25" s="50">
        <v>63.262230480792184</v>
      </c>
      <c r="I25" s="50">
        <v>142.06327325860187</v>
      </c>
      <c r="J25" s="50">
        <v>130.51109714930459</v>
      </c>
      <c r="K25" s="50">
        <v>231.26316456896808</v>
      </c>
      <c r="L25" s="50">
        <f t="shared" si="2"/>
        <v>134.98992523144949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2">
      <c r="A26" s="40" t="s">
        <v>29</v>
      </c>
      <c r="B26" s="42">
        <v>26.111857250146358</v>
      </c>
      <c r="C26" s="42">
        <v>115.66170851776161</v>
      </c>
      <c r="D26" s="42">
        <v>127.20979751201619</v>
      </c>
      <c r="E26" s="42">
        <v>26.155677356957039</v>
      </c>
      <c r="F26" s="42">
        <v>144.68373665751398</v>
      </c>
      <c r="G26" s="42">
        <v>244.57986268408189</v>
      </c>
      <c r="H26" s="42">
        <v>58.349397751002137</v>
      </c>
      <c r="I26" s="42">
        <v>119.17569023329843</v>
      </c>
      <c r="J26" s="42">
        <v>119.3338932036603</v>
      </c>
      <c r="K26" s="42">
        <v>197.76905008832065</v>
      </c>
      <c r="L26" s="42">
        <f t="shared" si="2"/>
        <v>117.90306712547586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2">
      <c r="A27" s="43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2">
      <c r="A28" s="34" t="s">
        <v>0</v>
      </c>
      <c r="B28" s="35" t="s">
        <v>37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2">
      <c r="A29" s="38"/>
      <c r="B29" s="39" t="s">
        <v>15</v>
      </c>
      <c r="C29" s="39" t="s">
        <v>16</v>
      </c>
      <c r="D29" s="39" t="s">
        <v>18</v>
      </c>
      <c r="E29" s="39" t="s">
        <v>19</v>
      </c>
      <c r="F29" s="39" t="s">
        <v>20</v>
      </c>
      <c r="G29" s="39" t="s">
        <v>21</v>
      </c>
      <c r="H29" s="39" t="s">
        <v>22</v>
      </c>
      <c r="I29" s="39" t="s">
        <v>23</v>
      </c>
      <c r="J29" s="39" t="s">
        <v>24</v>
      </c>
      <c r="K29" s="39" t="s">
        <v>25</v>
      </c>
      <c r="L29" s="39" t="s">
        <v>28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2">
      <c r="A30" s="40" t="s">
        <v>43</v>
      </c>
      <c r="B30" s="42">
        <v>6.6214590563268523</v>
      </c>
      <c r="C30" s="42">
        <v>14.622879429547542</v>
      </c>
      <c r="D30" s="42">
        <v>32.611257200942653</v>
      </c>
      <c r="E30" s="42">
        <v>4.8157153134457698</v>
      </c>
      <c r="F30" s="42">
        <v>20.633498684318045</v>
      </c>
      <c r="G30" s="42">
        <v>49.692096202080855</v>
      </c>
      <c r="H30" s="42">
        <v>4.001637289779393</v>
      </c>
      <c r="I30" s="42">
        <v>27.754907236641241</v>
      </c>
      <c r="J30" s="42">
        <v>6.6592393672363466</v>
      </c>
      <c r="K30" s="42">
        <v>12.57683333591592</v>
      </c>
      <c r="L30" s="42">
        <f t="shared" ref="L30:L35" si="3">AVERAGE(B30:K30)</f>
        <v>17.998952311623462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2">
      <c r="A31" s="40" t="s">
        <v>13</v>
      </c>
      <c r="B31" s="42">
        <v>6.6233276838150985</v>
      </c>
      <c r="C31" s="42">
        <v>15.239648094726411</v>
      </c>
      <c r="D31" s="42">
        <v>32.728716871171208</v>
      </c>
      <c r="E31" s="42">
        <v>5.3464668791091414</v>
      </c>
      <c r="F31" s="42">
        <v>22.086779211612932</v>
      </c>
      <c r="G31" s="42">
        <v>51.823828644806682</v>
      </c>
      <c r="H31" s="42">
        <v>4.3523131995948185</v>
      </c>
      <c r="I31" s="42">
        <v>29.348541076509186</v>
      </c>
      <c r="J31" s="42">
        <v>7.8353747809971255</v>
      </c>
      <c r="K31" s="42">
        <v>17.059818222523322</v>
      </c>
      <c r="L31" s="42">
        <f t="shared" si="3"/>
        <v>19.24448146648659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2">
      <c r="A32" s="40" t="s">
        <v>17</v>
      </c>
      <c r="B32" s="42">
        <v>5.15661816700334</v>
      </c>
      <c r="C32" s="42">
        <v>14.52766052878237</v>
      </c>
      <c r="D32" s="42">
        <v>31.757167917829467</v>
      </c>
      <c r="E32" s="42">
        <v>4.4061363268824749</v>
      </c>
      <c r="F32" s="42">
        <v>18.931227574700241</v>
      </c>
      <c r="G32" s="42">
        <v>48.66638084956211</v>
      </c>
      <c r="H32" s="42">
        <v>3.4348387838307164</v>
      </c>
      <c r="I32" s="42">
        <v>23.052177961001679</v>
      </c>
      <c r="J32" s="42">
        <v>5.7068761705681252</v>
      </c>
      <c r="K32" s="42">
        <v>9.5560896701166111</v>
      </c>
      <c r="L32" s="42">
        <f t="shared" si="3"/>
        <v>16.519517395027716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2">
      <c r="A33" s="47" t="s">
        <v>26</v>
      </c>
      <c r="B33" s="48">
        <v>5.1522083962487146</v>
      </c>
      <c r="C33" s="48">
        <v>14.516107761403516</v>
      </c>
      <c r="D33" s="48">
        <v>31.527152706090902</v>
      </c>
      <c r="E33" s="48">
        <v>4.2000986123747506</v>
      </c>
      <c r="F33" s="48">
        <v>18.638451642239087</v>
      </c>
      <c r="G33" s="48">
        <v>48.089985710028962</v>
      </c>
      <c r="H33" s="48">
        <v>3.1547181169293492</v>
      </c>
      <c r="I33" s="48">
        <v>22.908915151593042</v>
      </c>
      <c r="J33" s="48">
        <v>5.2337146264943506</v>
      </c>
      <c r="K33" s="48">
        <v>7.3499521617516539</v>
      </c>
      <c r="L33" s="48">
        <f t="shared" si="3"/>
        <v>16.077130488515429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2">
      <c r="A34" s="49" t="s">
        <v>27</v>
      </c>
      <c r="B34" s="50">
        <v>6.8172209011458422</v>
      </c>
      <c r="C34" s="50">
        <v>16.452074243041551</v>
      </c>
      <c r="D34" s="50">
        <v>34.089915012087467</v>
      </c>
      <c r="E34" s="50">
        <v>7.4852967556253214</v>
      </c>
      <c r="F34" s="50">
        <v>26.137661518434861</v>
      </c>
      <c r="G34" s="50">
        <v>58.726993766422268</v>
      </c>
      <c r="H34" s="50">
        <v>5.778503197363964</v>
      </c>
      <c r="I34" s="50">
        <v>31.503411971252593</v>
      </c>
      <c r="J34" s="50">
        <v>11.287210369341956</v>
      </c>
      <c r="K34" s="50">
        <v>28.45288298763802</v>
      </c>
      <c r="L34" s="50">
        <f t="shared" si="3"/>
        <v>22.673117072235382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2">
      <c r="A35" s="40" t="s">
        <v>29</v>
      </c>
      <c r="B35" s="42">
        <v>7.0070129884870314</v>
      </c>
      <c r="C35" s="42">
        <v>14.920531535561341</v>
      </c>
      <c r="D35" s="42">
        <v>34.386969132177668</v>
      </c>
      <c r="E35" s="42">
        <v>5.1154100968844434</v>
      </c>
      <c r="F35" s="42">
        <v>21.437715579739443</v>
      </c>
      <c r="G35" s="42">
        <v>52.736190339640224</v>
      </c>
      <c r="H35" s="42">
        <v>4.535445508476518</v>
      </c>
      <c r="I35" s="42">
        <v>28.199312018791431</v>
      </c>
      <c r="J35" s="42">
        <v>7.1289338323215405</v>
      </c>
      <c r="K35" s="42">
        <v>13.459963367223047</v>
      </c>
      <c r="L35" s="42">
        <f t="shared" si="3"/>
        <v>18.892748439930269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2">
      <c r="A36" s="43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2">
      <c r="A37" s="34" t="s">
        <v>0</v>
      </c>
      <c r="B37" s="35" t="s">
        <v>2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2">
      <c r="A38" s="38"/>
      <c r="B38" s="39" t="s">
        <v>15</v>
      </c>
      <c r="C38" s="39" t="s">
        <v>16</v>
      </c>
      <c r="D38" s="39" t="s">
        <v>18</v>
      </c>
      <c r="E38" s="39" t="s">
        <v>19</v>
      </c>
      <c r="F38" s="39" t="s">
        <v>20</v>
      </c>
      <c r="G38" s="39" t="s">
        <v>21</v>
      </c>
      <c r="H38" s="39" t="s">
        <v>22</v>
      </c>
      <c r="I38" s="39" t="s">
        <v>23</v>
      </c>
      <c r="J38" s="39" t="s">
        <v>24</v>
      </c>
      <c r="K38" s="39" t="s">
        <v>25</v>
      </c>
      <c r="L38" s="39" t="s">
        <v>28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2">
      <c r="A39" s="40" t="s">
        <v>43</v>
      </c>
      <c r="B39" s="51">
        <v>149.488477447869</v>
      </c>
      <c r="C39" s="51">
        <v>8.2496375921395906</v>
      </c>
      <c r="D39" s="51">
        <v>235.37122577861501</v>
      </c>
      <c r="E39" s="51">
        <v>49.945625729047798</v>
      </c>
      <c r="F39" s="51">
        <v>162.72877791661401</v>
      </c>
      <c r="G39" s="51">
        <v>400.92267420203302</v>
      </c>
      <c r="H39" s="51">
        <v>4.8159355556234001E-3</v>
      </c>
      <c r="I39" s="51">
        <v>155.73948117554701</v>
      </c>
      <c r="J39" s="51">
        <v>9.0799326295751395E-2</v>
      </c>
      <c r="K39" s="51">
        <v>2.7161632144749599</v>
      </c>
      <c r="L39" s="51">
        <f t="shared" ref="L39:L44" si="4">AVERAGE(B39:K39)</f>
        <v>116.52576783181919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2">
      <c r="A40" s="47" t="s">
        <v>13</v>
      </c>
      <c r="B40" s="52">
        <v>149.046693252837</v>
      </c>
      <c r="C40" s="52">
        <v>8.2497683214178004</v>
      </c>
      <c r="D40" s="52">
        <v>234.10798015659699</v>
      </c>
      <c r="E40" s="52">
        <v>47.440566624513103</v>
      </c>
      <c r="F40" s="52">
        <v>162.31331353746401</v>
      </c>
      <c r="G40" s="52">
        <v>399.68689386634901</v>
      </c>
      <c r="H40" s="52">
        <v>4.8724126860939703E-3</v>
      </c>
      <c r="I40" s="52">
        <v>155.32085202443801</v>
      </c>
      <c r="J40" s="52">
        <v>9.0869750299924806E-2</v>
      </c>
      <c r="K40" s="52">
        <v>2.7161686978428001</v>
      </c>
      <c r="L40" s="52">
        <f t="shared" si="4"/>
        <v>115.89779786444444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2">
      <c r="A41" s="49" t="s">
        <v>17</v>
      </c>
      <c r="B41" s="53">
        <v>286.20531723895402</v>
      </c>
      <c r="C41" s="53">
        <v>8.2501077836745598</v>
      </c>
      <c r="D41" s="53">
        <v>258.30648476151799</v>
      </c>
      <c r="E41" s="53">
        <v>64.944367563370903</v>
      </c>
      <c r="F41" s="53">
        <v>301.79064084522099</v>
      </c>
      <c r="G41" s="53">
        <v>693.97345644868801</v>
      </c>
      <c r="H41" s="53">
        <v>5.8895907104096297E-3</v>
      </c>
      <c r="I41" s="53">
        <v>550.00322847137204</v>
      </c>
      <c r="J41" s="53">
        <v>0.225474355577854</v>
      </c>
      <c r="K41" s="53">
        <v>12.413929261238</v>
      </c>
      <c r="L41" s="53">
        <f t="shared" si="4"/>
        <v>217.6118896320325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2">
      <c r="A42" s="40" t="s">
        <v>26</v>
      </c>
      <c r="B42" s="51">
        <v>286.20553421157501</v>
      </c>
      <c r="C42" s="51">
        <v>8.2502574021708401</v>
      </c>
      <c r="D42" s="51">
        <v>258.185248537978</v>
      </c>
      <c r="E42" s="51">
        <v>64.956355407350102</v>
      </c>
      <c r="F42" s="51">
        <v>301.64253964240601</v>
      </c>
      <c r="G42" s="51">
        <v>693.97609576636</v>
      </c>
      <c r="H42" s="51">
        <v>6.3999160306014496E-3</v>
      </c>
      <c r="I42" s="51">
        <v>549.98599651721599</v>
      </c>
      <c r="J42" s="51">
        <v>0.22569040943028201</v>
      </c>
      <c r="K42" s="51">
        <v>12.435957739329501</v>
      </c>
      <c r="L42" s="51">
        <f t="shared" si="4"/>
        <v>217.58700755498461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2">
      <c r="A43" s="40" t="s">
        <v>27</v>
      </c>
      <c r="B43" s="51">
        <v>149.47515742870101</v>
      </c>
      <c r="C43" s="51">
        <v>8.2744032139680304</v>
      </c>
      <c r="D43" s="51">
        <v>235.448177166796</v>
      </c>
      <c r="E43" s="51">
        <v>50.054788388292302</v>
      </c>
      <c r="F43" s="51">
        <v>162.74123396991101</v>
      </c>
      <c r="G43" s="51">
        <v>400.915129729694</v>
      </c>
      <c r="H43" s="51">
        <v>1.6450824048923202E-2</v>
      </c>
      <c r="I43" s="51">
        <v>155.74532194481</v>
      </c>
      <c r="J43" s="51">
        <v>0.114139795757114</v>
      </c>
      <c r="K43" s="51">
        <v>2.7352785088550799</v>
      </c>
      <c r="L43" s="51">
        <f t="shared" si="4"/>
        <v>116.55200809708336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2">
      <c r="A44" s="40" t="s">
        <v>29</v>
      </c>
      <c r="B44" s="51">
        <v>149.53316772498201</v>
      </c>
      <c r="C44" s="51">
        <v>8.4973037125189208</v>
      </c>
      <c r="D44" s="51">
        <v>235.836457856072</v>
      </c>
      <c r="E44" s="51">
        <v>50.084964506122198</v>
      </c>
      <c r="F44" s="51">
        <v>163.10352514845499</v>
      </c>
      <c r="G44" s="51">
        <v>401.53112508013101</v>
      </c>
      <c r="H44" s="51">
        <v>0.192350239142003</v>
      </c>
      <c r="I44" s="51">
        <v>155.95916896456501</v>
      </c>
      <c r="J44" s="51">
        <v>0.44012991289011399</v>
      </c>
      <c r="K44" s="51">
        <v>3.0303295396421701</v>
      </c>
      <c r="L44" s="51">
        <f t="shared" si="4"/>
        <v>116.82085226845206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2">
      <c r="A45" s="43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2">
      <c r="A46" s="34" t="s">
        <v>0</v>
      </c>
      <c r="B46" s="35" t="s">
        <v>41</v>
      </c>
      <c r="C46" s="36"/>
      <c r="D46" s="36"/>
      <c r="E46" s="36"/>
      <c r="F46" s="36"/>
      <c r="G46" s="36"/>
      <c r="H46" s="36"/>
      <c r="I46" s="36"/>
      <c r="J46" s="36"/>
      <c r="K46" s="36"/>
      <c r="L46" s="3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2">
      <c r="A47" s="38"/>
      <c r="B47" s="39" t="s">
        <v>15</v>
      </c>
      <c r="C47" s="39" t="s">
        <v>16</v>
      </c>
      <c r="D47" s="39" t="s">
        <v>18</v>
      </c>
      <c r="E47" s="39" t="s">
        <v>19</v>
      </c>
      <c r="F47" s="39" t="s">
        <v>20</v>
      </c>
      <c r="G47" s="39" t="s">
        <v>21</v>
      </c>
      <c r="H47" s="39" t="s">
        <v>22</v>
      </c>
      <c r="I47" s="39" t="s">
        <v>23</v>
      </c>
      <c r="J47" s="39" t="s">
        <v>24</v>
      </c>
      <c r="K47" s="39" t="s">
        <v>25</v>
      </c>
      <c r="L47" s="39" t="s">
        <v>28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2">
      <c r="A48" s="47" t="s">
        <v>43</v>
      </c>
      <c r="B48" s="54">
        <v>4.6318896875701702E-3</v>
      </c>
      <c r="C48" s="54">
        <v>3.3631342048549501E-3</v>
      </c>
      <c r="D48" s="54">
        <v>9.4233293145293606E-2</v>
      </c>
      <c r="E48" s="54">
        <v>2.6778627733541598E-2</v>
      </c>
      <c r="F48" s="54">
        <v>8.4451090236498504E-3</v>
      </c>
      <c r="G48" s="54">
        <v>1.1050801725534E-2</v>
      </c>
      <c r="H48" s="54">
        <v>4.32076690607549E-4</v>
      </c>
      <c r="I48" s="54">
        <v>0.16481400297386301</v>
      </c>
      <c r="J48" s="54">
        <v>2.9361103254287599E-5</v>
      </c>
      <c r="K48" s="54">
        <v>2.15477266494437E-4</v>
      </c>
      <c r="L48" s="54">
        <f t="shared" ref="L48:L53" si="5">AVERAGE(B48:K48)</f>
        <v>3.1399377355466343E-2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2">
      <c r="A49" s="40" t="s">
        <v>13</v>
      </c>
      <c r="B49" s="55">
        <v>4.7657947927152904E-3</v>
      </c>
      <c r="C49" s="55">
        <v>3.4577013435733799E-3</v>
      </c>
      <c r="D49" s="55">
        <v>9.5285109480483896E-2</v>
      </c>
      <c r="E49" s="55">
        <v>2.7536861940001201E-2</v>
      </c>
      <c r="F49" s="55">
        <v>8.6706487437033103E-3</v>
      </c>
      <c r="G49" s="55">
        <v>1.12535360820231E-2</v>
      </c>
      <c r="H49" s="55">
        <v>4.3301618977203201E-4</v>
      </c>
      <c r="I49" s="55">
        <v>0.167051138842433</v>
      </c>
      <c r="J49" s="55">
        <v>2.5723674620905099E-5</v>
      </c>
      <c r="K49" s="55">
        <v>1.7359525151918899E-4</v>
      </c>
      <c r="L49" s="55">
        <f t="shared" si="5"/>
        <v>3.1865312634084528E-2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2">
      <c r="A50" s="40" t="s">
        <v>17</v>
      </c>
      <c r="B50" s="55">
        <v>5.48143636050848E-3</v>
      </c>
      <c r="C50" s="55">
        <v>4.43659044886656E-3</v>
      </c>
      <c r="D50" s="55">
        <v>0.11453370251459399</v>
      </c>
      <c r="E50" s="55">
        <v>3.64234356513288E-2</v>
      </c>
      <c r="F50" s="55">
        <v>1.0150281289523401E-2</v>
      </c>
      <c r="G50" s="55">
        <v>2.1479572275313E-2</v>
      </c>
      <c r="H50" s="55">
        <v>1.23841458049924E-3</v>
      </c>
      <c r="I50" s="55">
        <v>0.16949056624683401</v>
      </c>
      <c r="J50" s="55">
        <v>1.8881193786444999E-4</v>
      </c>
      <c r="K50" s="55">
        <v>6.3136107186177398E-3</v>
      </c>
      <c r="L50" s="55">
        <f t="shared" si="5"/>
        <v>3.697364220239497E-2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2">
      <c r="A51" s="40" t="s">
        <v>26</v>
      </c>
      <c r="B51" s="55">
        <v>5.8952673006694599E-3</v>
      </c>
      <c r="C51" s="55">
        <v>4.8357313219524901E-3</v>
      </c>
      <c r="D51" s="55">
        <v>0.11869134184320999</v>
      </c>
      <c r="E51" s="55">
        <v>4.0157262020723998E-2</v>
      </c>
      <c r="F51" s="55">
        <v>1.0740037673554401E-2</v>
      </c>
      <c r="G51" s="55">
        <v>2.5822490031770801E-2</v>
      </c>
      <c r="H51" s="55">
        <v>1.63933548412109E-3</v>
      </c>
      <c r="I51" s="55">
        <v>0.16946455522617301</v>
      </c>
      <c r="J51" s="55">
        <v>2.8055985114807601E-4</v>
      </c>
      <c r="K51" s="55">
        <v>7.2352088496328701E-3</v>
      </c>
      <c r="L51" s="55">
        <f t="shared" si="5"/>
        <v>3.8476178960295621E-2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2">
      <c r="A52" s="40" t="s">
        <v>27</v>
      </c>
      <c r="B52" s="55">
        <v>6.5655164725083003E-3</v>
      </c>
      <c r="C52" s="55">
        <v>6.1787348142394997E-2</v>
      </c>
      <c r="D52" s="55">
        <v>0.16347909792982901</v>
      </c>
      <c r="E52" s="55">
        <v>3.4195458611246399E-2</v>
      </c>
      <c r="F52" s="55">
        <v>4.09470720354135E-2</v>
      </c>
      <c r="G52" s="55">
        <v>9.4388453337330397E-2</v>
      </c>
      <c r="H52" s="55">
        <v>1.3493919133963399E-2</v>
      </c>
      <c r="I52" s="55">
        <v>0.189277091901774</v>
      </c>
      <c r="J52" s="55">
        <v>4.0946378111229399E-2</v>
      </c>
      <c r="K52" s="55">
        <v>1.8477245033496199E-2</v>
      </c>
      <c r="L52" s="55">
        <f t="shared" si="5"/>
        <v>6.6355758070918563E-2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2">
      <c r="A53" s="49" t="s">
        <v>29</v>
      </c>
      <c r="B53" s="56">
        <v>3.6395480123168802E-2</v>
      </c>
      <c r="C53" s="56">
        <v>0.53847808819437304</v>
      </c>
      <c r="D53" s="56">
        <v>0.80590678241570801</v>
      </c>
      <c r="E53" s="56">
        <v>0.104914061231349</v>
      </c>
      <c r="F53" s="56">
        <v>0.41769879913430102</v>
      </c>
      <c r="G53" s="56">
        <v>0.92856703798139095</v>
      </c>
      <c r="H53" s="56">
        <v>0.110313125120043</v>
      </c>
      <c r="I53" s="56">
        <v>0.59915484902898097</v>
      </c>
      <c r="J53" s="56">
        <v>0.39432036884206001</v>
      </c>
      <c r="K53" s="56">
        <v>0.186641705413297</v>
      </c>
      <c r="L53" s="56">
        <f t="shared" si="5"/>
        <v>0.41223902974846716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2">
      <c r="A54" s="43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2">
      <c r="A55" s="43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2">
      <c r="A56" s="34" t="s">
        <v>0</v>
      </c>
      <c r="B56" s="35" t="s">
        <v>40</v>
      </c>
      <c r="C56" s="36"/>
      <c r="D56" s="36"/>
      <c r="E56" s="36"/>
      <c r="F56" s="36"/>
      <c r="G56" s="36"/>
      <c r="H56" s="36"/>
      <c r="I56" s="36"/>
      <c r="J56" s="36"/>
      <c r="K56" s="36"/>
      <c r="L56" s="3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2">
      <c r="A57" s="38"/>
      <c r="B57" s="39" t="s">
        <v>15</v>
      </c>
      <c r="C57" s="39" t="s">
        <v>16</v>
      </c>
      <c r="D57" s="39" t="s">
        <v>18</v>
      </c>
      <c r="E57" s="39" t="s">
        <v>19</v>
      </c>
      <c r="F57" s="39" t="s">
        <v>20</v>
      </c>
      <c r="G57" s="39" t="s">
        <v>21</v>
      </c>
      <c r="H57" s="39" t="s">
        <v>22</v>
      </c>
      <c r="I57" s="39" t="s">
        <v>23</v>
      </c>
      <c r="J57" s="39" t="s">
        <v>24</v>
      </c>
      <c r="K57" s="39" t="s">
        <v>25</v>
      </c>
      <c r="L57" s="39" t="s">
        <v>28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2">
      <c r="A58" s="47" t="s">
        <v>43</v>
      </c>
      <c r="B58" s="54">
        <v>5.9936166131375E-2</v>
      </c>
      <c r="C58" s="54">
        <v>4.98306075821327E-3</v>
      </c>
      <c r="D58" s="54">
        <v>2.62042328918939E-2</v>
      </c>
      <c r="E58" s="54">
        <v>2.0331923360249901E-2</v>
      </c>
      <c r="F58" s="54">
        <v>8.1041892067237904E-3</v>
      </c>
      <c r="G58" s="54">
        <v>7.1664934904643804E-2</v>
      </c>
      <c r="H58" s="54">
        <v>7.51645561899833E-3</v>
      </c>
      <c r="I58" s="54">
        <v>2.0817089800131E-2</v>
      </c>
      <c r="J58" s="54">
        <v>9.2088095442174195E-3</v>
      </c>
      <c r="K58" s="54">
        <v>7.2389578084141202E-3</v>
      </c>
      <c r="L58" s="54">
        <f t="shared" ref="L58:L63" si="6">AVERAGE(B58:K58)</f>
        <v>2.3600582002486055E-2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2">
      <c r="A59" s="40" t="s">
        <v>13</v>
      </c>
      <c r="B59" s="55">
        <v>6.08426971163879E-2</v>
      </c>
      <c r="C59" s="55">
        <v>5.0472961665661399E-3</v>
      </c>
      <c r="D59" s="55">
        <v>2.6401841961341099E-2</v>
      </c>
      <c r="E59" s="55">
        <v>2.0182012060769399E-2</v>
      </c>
      <c r="F59" s="55">
        <v>8.3012200808456199E-3</v>
      </c>
      <c r="G59" s="55">
        <v>7.3428458999219903E-2</v>
      </c>
      <c r="H59" s="55">
        <v>7.6805004780531802E-3</v>
      </c>
      <c r="I59" s="55">
        <v>2.0840433777641099E-2</v>
      </c>
      <c r="J59" s="55">
        <v>9.4220344528631698E-3</v>
      </c>
      <c r="K59" s="55">
        <v>7.3549611029410499E-3</v>
      </c>
      <c r="L59" s="55">
        <f t="shared" si="6"/>
        <v>2.3950145619662855E-2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2">
      <c r="A60" s="40" t="s">
        <v>17</v>
      </c>
      <c r="B60" s="55">
        <v>6.2118568485290203E-2</v>
      </c>
      <c r="C60" s="55">
        <v>5.1815792258605303E-3</v>
      </c>
      <c r="D60" s="55">
        <v>3.83347506259498E-2</v>
      </c>
      <c r="E60" s="55">
        <v>2.7714505197806601E-2</v>
      </c>
      <c r="F60" s="55">
        <v>9.5218205730856192E-3</v>
      </c>
      <c r="G60" s="55">
        <v>8.4907775580046793E-2</v>
      </c>
      <c r="H60" s="55">
        <v>8.0678653441720195E-3</v>
      </c>
      <c r="I60" s="55">
        <v>2.2919854735526698E-2</v>
      </c>
      <c r="J60" s="55">
        <v>9.6522562909835807E-3</v>
      </c>
      <c r="K60" s="55">
        <v>1.0350886577419401E-2</v>
      </c>
      <c r="L60" s="55">
        <f t="shared" si="6"/>
        <v>2.787698626361413E-2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2">
      <c r="A61" s="40" t="s">
        <v>26</v>
      </c>
      <c r="B61" s="55">
        <v>6.2432936765763898E-2</v>
      </c>
      <c r="C61" s="55">
        <v>5.2458149243921797E-3</v>
      </c>
      <c r="D61" s="55">
        <v>4.1786746073505E-2</v>
      </c>
      <c r="E61" s="55">
        <v>3.1409464098550402E-2</v>
      </c>
      <c r="F61" s="55">
        <v>1.0078582045450001E-2</v>
      </c>
      <c r="G61" s="55">
        <v>8.8531491784554606E-2</v>
      </c>
      <c r="H61" s="55">
        <v>8.2751420419997102E-3</v>
      </c>
      <c r="I61" s="55">
        <v>2.4349147832236399E-2</v>
      </c>
      <c r="J61" s="55">
        <v>9.8806958901762401E-3</v>
      </c>
      <c r="K61" s="55">
        <v>1.10334389401221E-2</v>
      </c>
      <c r="L61" s="55">
        <f t="shared" si="6"/>
        <v>2.9302346039675058E-2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2">
      <c r="A62" s="40" t="s">
        <v>27</v>
      </c>
      <c r="B62" s="55">
        <v>7.6185045163675705E-2</v>
      </c>
      <c r="C62" s="55">
        <v>2.05625141056455E-2</v>
      </c>
      <c r="D62" s="55">
        <v>7.1655585751822806E-2</v>
      </c>
      <c r="E62" s="55">
        <v>2.8099731217581098E-2</v>
      </c>
      <c r="F62" s="55">
        <v>4.8147974904767001E-2</v>
      </c>
      <c r="G62" s="55">
        <v>0.154125285136124</v>
      </c>
      <c r="H62" s="55">
        <v>1.91430338267322E-2</v>
      </c>
      <c r="I62" s="55">
        <v>4.3672329550087798E-2</v>
      </c>
      <c r="J62" s="55">
        <v>2.58700951391156E-2</v>
      </c>
      <c r="K62" s="55">
        <v>3.8949984606569503E-2</v>
      </c>
      <c r="L62" s="55">
        <f t="shared" si="6"/>
        <v>5.2641157940212124E-2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2">
      <c r="A63" s="49" t="s">
        <v>29</v>
      </c>
      <c r="B63" s="56">
        <v>0.22081602250980001</v>
      </c>
      <c r="C63" s="56">
        <v>0.21265499949738301</v>
      </c>
      <c r="D63" s="56">
        <v>0.48345981918157199</v>
      </c>
      <c r="E63" s="56">
        <v>9.41280244288729E-2</v>
      </c>
      <c r="F63" s="56">
        <v>0.63794948066427304</v>
      </c>
      <c r="G63" s="56">
        <v>1.0760120893698</v>
      </c>
      <c r="H63" s="56">
        <v>0.25263108428911502</v>
      </c>
      <c r="I63" s="56">
        <v>0.28692418304124501</v>
      </c>
      <c r="J63" s="56">
        <v>0.35138975487676199</v>
      </c>
      <c r="K63" s="56">
        <v>0.66511747031060797</v>
      </c>
      <c r="L63" s="56">
        <f t="shared" si="6"/>
        <v>0.42810829281694307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2">
      <c r="A64" s="43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2">
      <c r="A65" s="43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2">
      <c r="A66" s="34" t="s">
        <v>0</v>
      </c>
      <c r="B66" s="35" t="s">
        <v>42</v>
      </c>
      <c r="C66" s="36"/>
      <c r="D66" s="36"/>
      <c r="E66" s="36"/>
      <c r="F66" s="36"/>
      <c r="G66" s="36"/>
      <c r="H66" s="36"/>
      <c r="I66" s="36"/>
      <c r="J66" s="36"/>
      <c r="K66" s="36"/>
      <c r="L66" s="37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2">
      <c r="A67" s="38"/>
      <c r="B67" s="39" t="s">
        <v>15</v>
      </c>
      <c r="C67" s="39" t="s">
        <v>16</v>
      </c>
      <c r="D67" s="39" t="s">
        <v>18</v>
      </c>
      <c r="E67" s="39" t="s">
        <v>19</v>
      </c>
      <c r="F67" s="39" t="s">
        <v>20</v>
      </c>
      <c r="G67" s="39" t="s">
        <v>21</v>
      </c>
      <c r="H67" s="39" t="s">
        <v>22</v>
      </c>
      <c r="I67" s="39" t="s">
        <v>23</v>
      </c>
      <c r="J67" s="39" t="s">
        <v>24</v>
      </c>
      <c r="K67" s="39" t="s">
        <v>25</v>
      </c>
      <c r="L67" s="39" t="s">
        <v>28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2">
      <c r="A68" s="40" t="s">
        <v>43</v>
      </c>
      <c r="B68" s="51">
        <v>448.40086428778801</v>
      </c>
      <c r="C68" s="51">
        <v>24.740566581455699</v>
      </c>
      <c r="D68" s="51">
        <v>705.99323980980705</v>
      </c>
      <c r="E68" s="51">
        <v>149.78976663604899</v>
      </c>
      <c r="F68" s="51">
        <v>488.16978445161197</v>
      </c>
      <c r="G68" s="42">
        <v>1202.68530686947</v>
      </c>
      <c r="H68" s="51">
        <v>6.4992743572643303E-3</v>
      </c>
      <c r="I68" s="42">
        <v>467.03281243386601</v>
      </c>
      <c r="J68" s="51">
        <v>0.26315980823978202</v>
      </c>
      <c r="K68" s="51">
        <v>8.1410352083499706</v>
      </c>
      <c r="L68" s="51">
        <f t="shared" ref="L68:L73" si="7">AVERAGE(B68:K68)</f>
        <v>349.52230353609946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2">
      <c r="A69" s="47" t="s">
        <v>13</v>
      </c>
      <c r="B69" s="52">
        <v>447.07447126660202</v>
      </c>
      <c r="C69" s="52">
        <v>24.7407999667433</v>
      </c>
      <c r="D69" s="52">
        <v>702.20225351834802</v>
      </c>
      <c r="E69" s="52">
        <v>142.27398099953899</v>
      </c>
      <c r="F69" s="52">
        <v>486.92296874356799</v>
      </c>
      <c r="G69" s="48">
        <v>1198.97599960397</v>
      </c>
      <c r="H69" s="52">
        <v>6.5037213904566901E-3</v>
      </c>
      <c r="I69" s="48">
        <v>465.774664500695</v>
      </c>
      <c r="J69" s="52">
        <v>0.26316149277229001</v>
      </c>
      <c r="K69" s="52">
        <v>8.1409775371739297</v>
      </c>
      <c r="L69" s="52">
        <f t="shared" si="7"/>
        <v>347.63757813508016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2">
      <c r="A70" s="49" t="s">
        <v>17</v>
      </c>
      <c r="B70" s="53">
        <v>858.54835171201603</v>
      </c>
      <c r="C70" s="53">
        <v>24.740705181349</v>
      </c>
      <c r="D70" s="53">
        <v>774.76658583141295</v>
      </c>
      <c r="E70" s="53">
        <v>194.768964749264</v>
      </c>
      <c r="F70" s="53">
        <v>905.35225043380103</v>
      </c>
      <c r="G70" s="50">
        <v>2081.8139819982098</v>
      </c>
      <c r="H70" s="53">
        <v>8.3624922065576295E-3</v>
      </c>
      <c r="I70" s="50">
        <v>1649.81727499313</v>
      </c>
      <c r="J70" s="53">
        <v>0.666581998504713</v>
      </c>
      <c r="K70" s="53">
        <v>37.225123286417897</v>
      </c>
      <c r="L70" s="53">
        <f t="shared" si="7"/>
        <v>652.77081826763128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2">
      <c r="A71" s="40" t="s">
        <v>26</v>
      </c>
      <c r="B71" s="51">
        <v>858.54827443065903</v>
      </c>
      <c r="C71" s="51">
        <v>24.7406906602662</v>
      </c>
      <c r="D71" s="51">
        <v>774.39526752601705</v>
      </c>
      <c r="E71" s="51">
        <v>194.79749949593099</v>
      </c>
      <c r="F71" s="51">
        <v>904.90680030749797</v>
      </c>
      <c r="G71" s="42">
        <v>2081.8139333172599</v>
      </c>
      <c r="H71" s="51">
        <v>9.2852705656835607E-3</v>
      </c>
      <c r="I71" s="42">
        <v>1649.76417584859</v>
      </c>
      <c r="J71" s="51">
        <v>0.666909972549521</v>
      </c>
      <c r="K71" s="51">
        <v>37.289604570198698</v>
      </c>
      <c r="L71" s="51">
        <f t="shared" si="7"/>
        <v>652.69324413995355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2">
      <c r="A72" s="40" t="s">
        <v>27</v>
      </c>
      <c r="B72" s="51">
        <v>448.342721724466</v>
      </c>
      <c r="C72" s="51">
        <v>24.740859779655999</v>
      </c>
      <c r="D72" s="51">
        <v>706.10939681670504</v>
      </c>
      <c r="E72" s="51">
        <v>150.10206997504801</v>
      </c>
      <c r="F72" s="51">
        <v>488.13460686279302</v>
      </c>
      <c r="G72" s="42">
        <v>1202.4968754506101</v>
      </c>
      <c r="H72" s="51">
        <v>1.6715519186074099E-2</v>
      </c>
      <c r="I72" s="42">
        <v>467.00301641297801</v>
      </c>
      <c r="J72" s="51">
        <v>0.27560291402099801</v>
      </c>
      <c r="K72" s="51">
        <v>8.1484082969251599</v>
      </c>
      <c r="L72" s="51">
        <f t="shared" si="7"/>
        <v>349.53702737523884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2">
      <c r="A73" s="40" t="s">
        <v>29</v>
      </c>
      <c r="B73" s="51">
        <v>448.34229167231399</v>
      </c>
      <c r="C73" s="51">
        <v>24.740778049865</v>
      </c>
      <c r="D73" s="51">
        <v>706.22000696661803</v>
      </c>
      <c r="E73" s="51">
        <v>150.05585143270599</v>
      </c>
      <c r="F73" s="51">
        <v>488.25492716556602</v>
      </c>
      <c r="G73" s="42">
        <v>1202.58879611304</v>
      </c>
      <c r="H73" s="51">
        <v>0.21410650801685299</v>
      </c>
      <c r="I73" s="42">
        <v>466.99142786162599</v>
      </c>
      <c r="J73" s="51">
        <v>0.57467961495151998</v>
      </c>
      <c r="K73" s="51">
        <v>8.2392294432025892</v>
      </c>
      <c r="L73" s="51">
        <f t="shared" si="7"/>
        <v>349.62220948279059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2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2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2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2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2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2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2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2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2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2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2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2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2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2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2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2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2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2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2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2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2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2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2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2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2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2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2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2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2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2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2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2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2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2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2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2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2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2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2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2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2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2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2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2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2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2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2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2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2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2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2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2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2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2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2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2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2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2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2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2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2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2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2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2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2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2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2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2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2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2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2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2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2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2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2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2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2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2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2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2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2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2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2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2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2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2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2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2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2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2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2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2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2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2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2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2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2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2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2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2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2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2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2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2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2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2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2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2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2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2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2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2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2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2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2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2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2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2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2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2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2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2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2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2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2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2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2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2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2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2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2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2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2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2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2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2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2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2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2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2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2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2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2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2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2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2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2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2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2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2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2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2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2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2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2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2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2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2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2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2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2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2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2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2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2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2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2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2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2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2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2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2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2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2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2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2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2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2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2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2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2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2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2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2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2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2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2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2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2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2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2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2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2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2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2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2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2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2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2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2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2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2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2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2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2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2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2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2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2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2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2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2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2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2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2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2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2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2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2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2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2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2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2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2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2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2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2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2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2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2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2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2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2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2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2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2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2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2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2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2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2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2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2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2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2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2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2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2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2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2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2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2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2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2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2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2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2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2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2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2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2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2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2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2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2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2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2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2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2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2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2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2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2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2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2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2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2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2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2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2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2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2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2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2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2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2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2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2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2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2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2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2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2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2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2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2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2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2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2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2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2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2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2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2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2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2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2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2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2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2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2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2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2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2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2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2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2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2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2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2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2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2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2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2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2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2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2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2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2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2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2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2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2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2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2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2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2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2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2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2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2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2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2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2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2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2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2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2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2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2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2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2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2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2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2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2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2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2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2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2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2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2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2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2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2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2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2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2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2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2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2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2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2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2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2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2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2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2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2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2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2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2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2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2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2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2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2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2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2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2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2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2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2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2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2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2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2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2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2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2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2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2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2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2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2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2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2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2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2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2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2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2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2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2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2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2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2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2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2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2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2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2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2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2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2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2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2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2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2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2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2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2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2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2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2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2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2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2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2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2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2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2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2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2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2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2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2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2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2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2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2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2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2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2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2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2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2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2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2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2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2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2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2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2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2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2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2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2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2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2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2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2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2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2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2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2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2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2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2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2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2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2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2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2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2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2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2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2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2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2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2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2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2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2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2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2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2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2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2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2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2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2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2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2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2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2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2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2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2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2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2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2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2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2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2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2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2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2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2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2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2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2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2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2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2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2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2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2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2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2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2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2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2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2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2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2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2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2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2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2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2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2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2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2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2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2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2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2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2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2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2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2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2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2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2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2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2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2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2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2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2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2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2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2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2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2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2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2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2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2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2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2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2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2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2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2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2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2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2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2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2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2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2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2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2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2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2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2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2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2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2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2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2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2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2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2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2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2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2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2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2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2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2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2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2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2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2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2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2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2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2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2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2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2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2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2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2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2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2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2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2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2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2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2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2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2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2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2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2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2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2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2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2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2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2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2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2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2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2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2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2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2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2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2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2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2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2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2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2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2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2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2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2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2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2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2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2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2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2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2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2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2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2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2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2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2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2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2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2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2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2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2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2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2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2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2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2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2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2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2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2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2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2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2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2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2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2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2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2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2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2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2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2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2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2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2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2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2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2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2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2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2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2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2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2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2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2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2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2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2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2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2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2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2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2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2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2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2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2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2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2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2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2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2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2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2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2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2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2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2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2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2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2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2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2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2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2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2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2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2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2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2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2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2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2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2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2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2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2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2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2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2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2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2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2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2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2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2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2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2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2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2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2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2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2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2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2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2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2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2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2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2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2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2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2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2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2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2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2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2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2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2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2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2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2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2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2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2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2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2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2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2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2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2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2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2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2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2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2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2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2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2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2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2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2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2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2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2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2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2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2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2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2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2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2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2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2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2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2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2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2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2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2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2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2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2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2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2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2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2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2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2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2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2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2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2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2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2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2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2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2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2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2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2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2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2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2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2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2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2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2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2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2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2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2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2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2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2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2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2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2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2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2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2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2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2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2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2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2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2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2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2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2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2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2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2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2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2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2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2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2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2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2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2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2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2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2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2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2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2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2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2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2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2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2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2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2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2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2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2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2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2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2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2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2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2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2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2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2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2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2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2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2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2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2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2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16">
    <mergeCell ref="B37:L37"/>
    <mergeCell ref="B46:L46"/>
    <mergeCell ref="B56:L56"/>
    <mergeCell ref="B66:L66"/>
    <mergeCell ref="A1:A2"/>
    <mergeCell ref="B1:L1"/>
    <mergeCell ref="A10:A11"/>
    <mergeCell ref="B10:L10"/>
    <mergeCell ref="A19:A20"/>
    <mergeCell ref="B19:L19"/>
    <mergeCell ref="B28:L28"/>
    <mergeCell ref="A28:A29"/>
    <mergeCell ref="A37:A38"/>
    <mergeCell ref="A46:A47"/>
    <mergeCell ref="A56:A57"/>
    <mergeCell ref="A66:A67"/>
  </mergeCells>
  <conditionalFormatting sqref="B3:B8">
    <cfRule type="expression" dxfId="0" priority="1">
      <formula>"max(B3:B8)"</formula>
    </cfRule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2"/>
  <sheetViews>
    <sheetView workbookViewId="0"/>
  </sheetViews>
  <sheetFormatPr defaultColWidth="12.625" defaultRowHeight="15" customHeight="1" x14ac:dyDescent="0.2"/>
  <cols>
    <col min="1" max="26" width="5.75" customWidth="1"/>
  </cols>
  <sheetData>
    <row r="1" spans="1:11" x14ac:dyDescent="0.2">
      <c r="A1" s="27" t="s">
        <v>0</v>
      </c>
      <c r="B1" s="29" t="s">
        <v>2</v>
      </c>
      <c r="C1" s="30"/>
      <c r="D1" s="30"/>
      <c r="E1" s="30"/>
      <c r="F1" s="30"/>
      <c r="G1" s="30"/>
      <c r="H1" s="30"/>
      <c r="I1" s="30"/>
      <c r="J1" s="30"/>
      <c r="K1" s="31"/>
    </row>
    <row r="2" spans="1:11" ht="14.25" x14ac:dyDescent="0.2">
      <c r="A2" s="28"/>
      <c r="B2" s="4" t="s">
        <v>15</v>
      </c>
      <c r="C2" s="4" t="s">
        <v>16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1:11" ht="14.25" x14ac:dyDescent="0.2">
      <c r="A3" s="6" t="s">
        <v>12</v>
      </c>
      <c r="B3" s="7">
        <v>149.488477447869</v>
      </c>
      <c r="C3" s="7">
        <v>8.2496375921395906</v>
      </c>
      <c r="D3" s="7">
        <v>235.37122577861501</v>
      </c>
      <c r="E3" s="7">
        <v>49.945625729047798</v>
      </c>
      <c r="F3" s="7">
        <v>162.72877791661401</v>
      </c>
      <c r="G3" s="7">
        <v>400.92267420203302</v>
      </c>
      <c r="H3" s="8">
        <v>4.8159355556234001E-3</v>
      </c>
      <c r="I3" s="7">
        <v>155.73948117554701</v>
      </c>
      <c r="J3" s="9">
        <v>9.0799326295751395E-2</v>
      </c>
      <c r="K3" s="7">
        <v>2.7161632144749599</v>
      </c>
    </row>
    <row r="4" spans="1:11" ht="14.25" x14ac:dyDescent="0.2">
      <c r="A4" s="6" t="s">
        <v>13</v>
      </c>
      <c r="B4" s="7">
        <v>149.046693252837</v>
      </c>
      <c r="C4" s="7">
        <v>8.2497683214178004</v>
      </c>
      <c r="D4" s="7">
        <v>234.10798015659699</v>
      </c>
      <c r="E4" s="7">
        <v>47.440566624513103</v>
      </c>
      <c r="F4" s="7">
        <v>162.31331353746401</v>
      </c>
      <c r="G4" s="7">
        <v>399.68689386634901</v>
      </c>
      <c r="H4" s="8">
        <v>4.8724126860939703E-3</v>
      </c>
      <c r="I4" s="7">
        <v>155.32085202443801</v>
      </c>
      <c r="J4" s="9">
        <v>9.0869750299924806E-2</v>
      </c>
      <c r="K4" s="7">
        <v>2.7161686978428001</v>
      </c>
    </row>
    <row r="5" spans="1:11" ht="14.25" x14ac:dyDescent="0.2">
      <c r="A5" s="6" t="s">
        <v>17</v>
      </c>
      <c r="B5" s="7">
        <v>286.20531723895402</v>
      </c>
      <c r="C5" s="7">
        <v>8.2501077836745598</v>
      </c>
      <c r="D5" s="7">
        <v>258.30648476151799</v>
      </c>
      <c r="E5" s="7">
        <v>64.944367563370903</v>
      </c>
      <c r="F5" s="7">
        <v>301.79064084522099</v>
      </c>
      <c r="G5" s="7">
        <v>693.97345644868801</v>
      </c>
      <c r="H5" s="8">
        <v>5.8895907104096297E-3</v>
      </c>
      <c r="I5" s="7">
        <v>550.00322847137204</v>
      </c>
      <c r="J5" s="9">
        <v>0.225474355577854</v>
      </c>
      <c r="K5" s="7">
        <v>12.413929261238</v>
      </c>
    </row>
    <row r="6" spans="1:11" ht="14.25" x14ac:dyDescent="0.2">
      <c r="A6" s="6" t="s">
        <v>26</v>
      </c>
      <c r="B6" s="7">
        <v>286.20553421157501</v>
      </c>
      <c r="C6" s="7">
        <v>8.2502574021708401</v>
      </c>
      <c r="D6" s="7">
        <v>258.185248537978</v>
      </c>
      <c r="E6" s="7">
        <v>64.956355407350102</v>
      </c>
      <c r="F6" s="7">
        <v>301.64253964240601</v>
      </c>
      <c r="G6" s="7">
        <v>693.97609576636</v>
      </c>
      <c r="H6" s="8">
        <v>6.3999160306014496E-3</v>
      </c>
      <c r="I6" s="7">
        <v>549.98599651721599</v>
      </c>
      <c r="J6" s="9">
        <v>0.22569040943028201</v>
      </c>
      <c r="K6" s="7">
        <v>12.435957739329501</v>
      </c>
    </row>
    <row r="7" spans="1:11" ht="14.25" x14ac:dyDescent="0.2">
      <c r="A7" s="6" t="s">
        <v>27</v>
      </c>
      <c r="B7" s="7">
        <v>149.47515742870101</v>
      </c>
      <c r="C7" s="7">
        <v>8.2744032139680304</v>
      </c>
      <c r="D7" s="7">
        <v>235.448177166796</v>
      </c>
      <c r="E7" s="7">
        <v>50.054788388292302</v>
      </c>
      <c r="F7" s="7">
        <v>162.74123396991101</v>
      </c>
      <c r="G7" s="7">
        <v>400.915129729694</v>
      </c>
      <c r="H7" s="8">
        <v>1.6450824048923202E-2</v>
      </c>
      <c r="I7" s="7">
        <v>155.74532194481</v>
      </c>
      <c r="J7" s="9">
        <v>0.114139795757114</v>
      </c>
      <c r="K7" s="7">
        <v>2.7352785088550799</v>
      </c>
    </row>
    <row r="8" spans="1:11" ht="14.25" x14ac:dyDescent="0.2">
      <c r="A8" s="6" t="s">
        <v>29</v>
      </c>
      <c r="B8" s="7">
        <v>149.53316772498201</v>
      </c>
      <c r="C8" s="7">
        <v>8.4973037125189208</v>
      </c>
      <c r="D8" s="7">
        <v>235.836457856072</v>
      </c>
      <c r="E8" s="7">
        <v>50.084964506122198</v>
      </c>
      <c r="F8" s="7">
        <v>163.10352514845499</v>
      </c>
      <c r="G8" s="7">
        <v>401.53112508013101</v>
      </c>
      <c r="H8" s="8">
        <v>0.192350239142003</v>
      </c>
      <c r="I8" s="7">
        <v>155.95916896456501</v>
      </c>
      <c r="J8" s="9">
        <v>0.44012991289011399</v>
      </c>
      <c r="K8" s="7">
        <v>3.0303295396421701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1:A2"/>
    <mergeCell ref="B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2"/>
  <sheetViews>
    <sheetView workbookViewId="0"/>
  </sheetViews>
  <sheetFormatPr defaultColWidth="12.625" defaultRowHeight="15" customHeight="1" x14ac:dyDescent="0.2"/>
  <cols>
    <col min="1" max="1" width="8" customWidth="1"/>
    <col min="2" max="26" width="5.75" customWidth="1"/>
  </cols>
  <sheetData>
    <row r="1" spans="1:11" x14ac:dyDescent="0.25">
      <c r="A1" s="1" t="s">
        <v>12</v>
      </c>
      <c r="B1" s="14">
        <v>101.340413721998</v>
      </c>
      <c r="C1" s="14">
        <v>421.59098784050002</v>
      </c>
      <c r="D1" s="14">
        <v>480.53688061931803</v>
      </c>
      <c r="E1" s="14">
        <v>88.476218471132498</v>
      </c>
      <c r="F1" s="14">
        <v>522.87906074019099</v>
      </c>
      <c r="G1" s="14">
        <v>905.23265606323196</v>
      </c>
      <c r="H1" s="14">
        <v>208.02683557594301</v>
      </c>
      <c r="I1" s="14">
        <v>424.559949679608</v>
      </c>
      <c r="J1" s="14">
        <v>418.12522914138702</v>
      </c>
      <c r="K1" s="14">
        <v>690.819551012548</v>
      </c>
    </row>
    <row r="2" spans="1:11" x14ac:dyDescent="0.25">
      <c r="A2" s="1" t="s">
        <v>13</v>
      </c>
      <c r="B2" s="14">
        <v>107.732190807626</v>
      </c>
      <c r="C2" s="14">
        <v>467.53019066711198</v>
      </c>
      <c r="D2" s="14">
        <v>513.66549213239603</v>
      </c>
      <c r="E2" s="14">
        <v>84.808042599257803</v>
      </c>
      <c r="F2" s="14">
        <v>552.31819466270497</v>
      </c>
      <c r="G2" s="14">
        <v>950.255920833554</v>
      </c>
      <c r="H2" s="14">
        <v>216.19316131295199</v>
      </c>
      <c r="I2" s="14">
        <v>475.24057170788399</v>
      </c>
      <c r="J2" s="14">
        <v>437.19434780440901</v>
      </c>
      <c r="K2" s="14">
        <v>756.841221271839</v>
      </c>
    </row>
    <row r="3" spans="1:11" x14ac:dyDescent="0.25">
      <c r="A3" s="1" t="s">
        <v>17</v>
      </c>
      <c r="B3" s="14">
        <v>89.914716776081605</v>
      </c>
      <c r="C3" s="14">
        <v>410.08014611602903</v>
      </c>
      <c r="D3" s="14">
        <v>467.18212046269599</v>
      </c>
      <c r="E3" s="14">
        <v>73.344855208647203</v>
      </c>
      <c r="F3" s="14">
        <v>575.55392502103405</v>
      </c>
      <c r="G3" s="14">
        <v>928.78541982083595</v>
      </c>
      <c r="H3" s="14">
        <v>200.96672767146501</v>
      </c>
      <c r="I3" s="14">
        <v>587.540989326606</v>
      </c>
      <c r="J3" s="14">
        <v>393.32110323556401</v>
      </c>
      <c r="K3" s="14">
        <v>653.71521311942001</v>
      </c>
    </row>
    <row r="4" spans="1:11" x14ac:dyDescent="0.25">
      <c r="A4" s="1" t="s">
        <v>26</v>
      </c>
      <c r="B4" s="14">
        <v>89.708211907328504</v>
      </c>
      <c r="C4" s="14">
        <v>407.36618882437898</v>
      </c>
      <c r="D4" s="14">
        <v>460.017677986965</v>
      </c>
      <c r="E4" s="14">
        <v>56.547707020474597</v>
      </c>
      <c r="F4" s="14">
        <v>558.585119489828</v>
      </c>
      <c r="G4" s="14">
        <v>890.49747608351197</v>
      </c>
      <c r="H4" s="14">
        <v>196.73767024383099</v>
      </c>
      <c r="I4" s="14">
        <v>567.08672415575404</v>
      </c>
      <c r="J4" s="14">
        <v>371.92714599643898</v>
      </c>
      <c r="K4" s="14">
        <v>615.67396663382897</v>
      </c>
    </row>
    <row r="5" spans="1:11" x14ac:dyDescent="0.25">
      <c r="A5" s="1" t="s">
        <v>27</v>
      </c>
      <c r="B5" s="14">
        <v>110.052296838391</v>
      </c>
      <c r="C5" s="14">
        <v>499.97186378637298</v>
      </c>
      <c r="D5" s="14">
        <v>536.49581828864302</v>
      </c>
      <c r="E5" s="14">
        <v>104.28536290035299</v>
      </c>
      <c r="F5" s="14">
        <v>581.46737725296396</v>
      </c>
      <c r="G5" s="14">
        <v>993.71820821424501</v>
      </c>
      <c r="H5" s="14">
        <v>228.38350354076599</v>
      </c>
      <c r="I5" s="14">
        <v>512.86380237762398</v>
      </c>
      <c r="J5" s="14">
        <v>471.15919548485402</v>
      </c>
      <c r="K5" s="14">
        <v>834.88507064609405</v>
      </c>
    </row>
    <row r="6" spans="1:11" x14ac:dyDescent="0.25">
      <c r="A6" s="1" t="s">
        <v>29</v>
      </c>
      <c r="B6" s="14">
        <v>94.266632672008498</v>
      </c>
      <c r="C6" s="14">
        <v>417.551294287948</v>
      </c>
      <c r="D6" s="14">
        <v>459.24114625276599</v>
      </c>
      <c r="E6" s="14">
        <v>94.424828003455005</v>
      </c>
      <c r="F6" s="14">
        <v>522.32395905239696</v>
      </c>
      <c r="G6" s="14">
        <v>882.95979308332801</v>
      </c>
      <c r="H6" s="14">
        <v>210.647645310477</v>
      </c>
      <c r="I6" s="14">
        <v>430.237148856673</v>
      </c>
      <c r="J6" s="14">
        <v>430.80827871357502</v>
      </c>
      <c r="K6" s="14">
        <v>713.96768984953303</v>
      </c>
    </row>
    <row r="8" spans="1:11" x14ac:dyDescent="0.2">
      <c r="A8" s="27" t="s">
        <v>0</v>
      </c>
      <c r="B8" s="29" t="s">
        <v>31</v>
      </c>
      <c r="C8" s="30"/>
      <c r="D8" s="30"/>
      <c r="E8" s="30"/>
      <c r="F8" s="30"/>
      <c r="G8" s="30"/>
      <c r="H8" s="30"/>
      <c r="I8" s="30"/>
      <c r="J8" s="30"/>
      <c r="K8" s="31"/>
    </row>
    <row r="9" spans="1:11" ht="14.25" x14ac:dyDescent="0.2">
      <c r="A9" s="28"/>
      <c r="B9" s="4" t="s">
        <v>15</v>
      </c>
      <c r="C9" s="4" t="s">
        <v>16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25</v>
      </c>
    </row>
    <row r="10" spans="1:11" x14ac:dyDescent="0.25">
      <c r="A10" s="6" t="s">
        <v>12</v>
      </c>
      <c r="B10" s="10">
        <f t="shared" ref="B10:K10" si="0">B1*0.277</f>
        <v>28.071294600993451</v>
      </c>
      <c r="C10" s="10">
        <f t="shared" si="0"/>
        <v>116.78070363181851</v>
      </c>
      <c r="D10" s="10">
        <f t="shared" si="0"/>
        <v>133.1087159315511</v>
      </c>
      <c r="E10" s="10">
        <f t="shared" si="0"/>
        <v>24.507912516503705</v>
      </c>
      <c r="F10" s="10">
        <f t="shared" si="0"/>
        <v>144.83749982503292</v>
      </c>
      <c r="G10" s="10">
        <f t="shared" si="0"/>
        <v>250.74944572951529</v>
      </c>
      <c r="H10" s="10">
        <f t="shared" si="0"/>
        <v>57.623433454536219</v>
      </c>
      <c r="I10" s="10">
        <f t="shared" si="0"/>
        <v>117.60310606125142</v>
      </c>
      <c r="J10" s="10">
        <f t="shared" si="0"/>
        <v>115.82068847216422</v>
      </c>
      <c r="K10" s="10">
        <f t="shared" si="0"/>
        <v>191.35701563047581</v>
      </c>
    </row>
    <row r="11" spans="1:11" x14ac:dyDescent="0.25">
      <c r="A11" s="6" t="s">
        <v>13</v>
      </c>
      <c r="B11" s="10">
        <f t="shared" ref="B11:K11" si="1">B2*0.277</f>
        <v>29.841816853712405</v>
      </c>
      <c r="C11" s="10">
        <f t="shared" si="1"/>
        <v>129.50586281479002</v>
      </c>
      <c r="D11" s="10">
        <f t="shared" si="1"/>
        <v>142.28534132067372</v>
      </c>
      <c r="E11" s="10">
        <f t="shared" si="1"/>
        <v>23.491827799994415</v>
      </c>
      <c r="F11" s="10">
        <f t="shared" si="1"/>
        <v>152.99213992156928</v>
      </c>
      <c r="G11" s="10">
        <f t="shared" si="1"/>
        <v>263.22089007089448</v>
      </c>
      <c r="H11" s="10">
        <f t="shared" si="1"/>
        <v>59.885505683687704</v>
      </c>
      <c r="I11" s="10">
        <f t="shared" si="1"/>
        <v>131.64163836308387</v>
      </c>
      <c r="J11" s="10">
        <f t="shared" si="1"/>
        <v>121.10283434182131</v>
      </c>
      <c r="K11" s="10">
        <f t="shared" si="1"/>
        <v>209.64501829229943</v>
      </c>
    </row>
    <row r="12" spans="1:11" x14ac:dyDescent="0.25">
      <c r="A12" s="6" t="s">
        <v>17</v>
      </c>
      <c r="B12" s="10">
        <f t="shared" ref="B12:K12" si="2">B3*0.277</f>
        <v>24.906376546974606</v>
      </c>
      <c r="C12" s="10">
        <f t="shared" si="2"/>
        <v>113.59220047414006</v>
      </c>
      <c r="D12" s="10">
        <f t="shared" si="2"/>
        <v>129.40944736816681</v>
      </c>
      <c r="E12" s="10">
        <f t="shared" si="2"/>
        <v>20.316524892795279</v>
      </c>
      <c r="F12" s="10">
        <f t="shared" si="2"/>
        <v>159.42843723082643</v>
      </c>
      <c r="G12" s="10">
        <f t="shared" si="2"/>
        <v>257.27356129037156</v>
      </c>
      <c r="H12" s="10">
        <f t="shared" si="2"/>
        <v>55.667783564995815</v>
      </c>
      <c r="I12" s="10">
        <f t="shared" si="2"/>
        <v>162.74885404346986</v>
      </c>
      <c r="J12" s="10">
        <f t="shared" si="2"/>
        <v>108.94994559625124</v>
      </c>
      <c r="K12" s="10">
        <f t="shared" si="2"/>
        <v>181.07911403407937</v>
      </c>
    </row>
    <row r="13" spans="1:11" x14ac:dyDescent="0.25">
      <c r="A13" s="6" t="s">
        <v>26</v>
      </c>
      <c r="B13" s="10">
        <f t="shared" ref="B13:K13" si="3">B4*0.277</f>
        <v>24.849174698329996</v>
      </c>
      <c r="C13" s="10">
        <f t="shared" si="3"/>
        <v>112.84043430435298</v>
      </c>
      <c r="D13" s="10">
        <f t="shared" si="3"/>
        <v>127.42489680238931</v>
      </c>
      <c r="E13" s="10">
        <f t="shared" si="3"/>
        <v>15.663714844671464</v>
      </c>
      <c r="F13" s="10">
        <f t="shared" si="3"/>
        <v>154.72807809868237</v>
      </c>
      <c r="G13" s="10">
        <f t="shared" si="3"/>
        <v>246.66780087513283</v>
      </c>
      <c r="H13" s="10">
        <f t="shared" si="3"/>
        <v>54.49633465754119</v>
      </c>
      <c r="I13" s="10">
        <f t="shared" si="3"/>
        <v>157.08302259114387</v>
      </c>
      <c r="J13" s="10">
        <f t="shared" si="3"/>
        <v>103.0238194410136</v>
      </c>
      <c r="K13" s="10">
        <f t="shared" si="3"/>
        <v>170.54168875757063</v>
      </c>
    </row>
    <row r="14" spans="1:11" x14ac:dyDescent="0.25">
      <c r="A14" s="6" t="s">
        <v>27</v>
      </c>
      <c r="B14" s="10">
        <f t="shared" ref="B14:K14" si="4">B5*0.277</f>
        <v>30.48448622423431</v>
      </c>
      <c r="C14" s="10">
        <f t="shared" si="4"/>
        <v>138.49220626882533</v>
      </c>
      <c r="D14" s="10">
        <f t="shared" si="4"/>
        <v>148.60934166595413</v>
      </c>
      <c r="E14" s="10">
        <f t="shared" si="4"/>
        <v>28.887045523397781</v>
      </c>
      <c r="F14" s="10">
        <f t="shared" si="4"/>
        <v>161.06646349907103</v>
      </c>
      <c r="G14" s="10">
        <f t="shared" si="4"/>
        <v>275.25994367534588</v>
      </c>
      <c r="H14" s="10">
        <f t="shared" si="4"/>
        <v>63.262230480792184</v>
      </c>
      <c r="I14" s="10">
        <f t="shared" si="4"/>
        <v>142.06327325860187</v>
      </c>
      <c r="J14" s="10">
        <f t="shared" si="4"/>
        <v>130.51109714930459</v>
      </c>
      <c r="K14" s="10">
        <f t="shared" si="4"/>
        <v>231.26316456896808</v>
      </c>
    </row>
    <row r="15" spans="1:11" x14ac:dyDescent="0.25">
      <c r="A15" s="6" t="s">
        <v>29</v>
      </c>
      <c r="B15" s="10">
        <f t="shared" ref="B15:K15" si="5">B6*0.277</f>
        <v>26.111857250146358</v>
      </c>
      <c r="C15" s="10">
        <f t="shared" si="5"/>
        <v>115.66170851776161</v>
      </c>
      <c r="D15" s="10">
        <f t="shared" si="5"/>
        <v>127.20979751201619</v>
      </c>
      <c r="E15" s="10">
        <f t="shared" si="5"/>
        <v>26.155677356957039</v>
      </c>
      <c r="F15" s="10">
        <f t="shared" si="5"/>
        <v>144.68373665751398</v>
      </c>
      <c r="G15" s="10">
        <f t="shared" si="5"/>
        <v>244.57986268408189</v>
      </c>
      <c r="H15" s="10">
        <f t="shared" si="5"/>
        <v>58.349397751002137</v>
      </c>
      <c r="I15" s="10">
        <f t="shared" si="5"/>
        <v>119.17569023329843</v>
      </c>
      <c r="J15" s="10">
        <f t="shared" si="5"/>
        <v>119.3338932036603</v>
      </c>
      <c r="K15" s="10">
        <f t="shared" si="5"/>
        <v>197.76905008832065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8:A9"/>
    <mergeCell ref="B8:K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2"/>
  <sheetViews>
    <sheetView workbookViewId="0"/>
  </sheetViews>
  <sheetFormatPr defaultColWidth="12.625" defaultRowHeight="15" customHeight="1" x14ac:dyDescent="0.2"/>
  <cols>
    <col min="1" max="26" width="5.75" customWidth="1"/>
  </cols>
  <sheetData>
    <row r="1" spans="1:11" x14ac:dyDescent="0.25">
      <c r="A1" s="2" t="s">
        <v>12</v>
      </c>
      <c r="B1" s="3">
        <v>23.9041843188695</v>
      </c>
      <c r="C1" s="3">
        <v>52.790178446020001</v>
      </c>
      <c r="D1" s="3">
        <v>117.73017040051499</v>
      </c>
      <c r="E1" s="3">
        <v>17.385253839154402</v>
      </c>
      <c r="F1" s="3">
        <v>74.489164925335899</v>
      </c>
      <c r="G1" s="3">
        <v>179.39384910498501</v>
      </c>
      <c r="H1" s="3">
        <v>14.4463440064238</v>
      </c>
      <c r="I1" s="3">
        <v>100.198221070907</v>
      </c>
      <c r="J1" s="3">
        <v>24.040575332983199</v>
      </c>
      <c r="K1" s="3">
        <v>45.403730454570102</v>
      </c>
    </row>
    <row r="2" spans="1:11" x14ac:dyDescent="0.25">
      <c r="A2" s="2" t="s">
        <v>13</v>
      </c>
      <c r="B2" s="3">
        <v>23.910930266480499</v>
      </c>
      <c r="C2" s="3">
        <v>55.016780125366097</v>
      </c>
      <c r="D2" s="3">
        <v>118.154212531304</v>
      </c>
      <c r="E2" s="3">
        <v>19.3013244733182</v>
      </c>
      <c r="F2" s="3">
        <v>79.735665023873395</v>
      </c>
      <c r="G2" s="3">
        <v>187.089634096775</v>
      </c>
      <c r="H2" s="3">
        <v>15.712322020197901</v>
      </c>
      <c r="I2" s="3">
        <v>105.95141182855301</v>
      </c>
      <c r="J2" s="3">
        <v>28.2865515559463</v>
      </c>
      <c r="K2" s="3">
        <v>61.587791417051697</v>
      </c>
    </row>
    <row r="3" spans="1:11" x14ac:dyDescent="0.25">
      <c r="A3" s="2" t="s">
        <v>17</v>
      </c>
      <c r="B3" s="3">
        <v>18.615950061383899</v>
      </c>
      <c r="C3" s="3">
        <v>52.446427901741401</v>
      </c>
      <c r="D3" s="3">
        <v>114.64681558783199</v>
      </c>
      <c r="E3" s="3">
        <v>15.906629338925899</v>
      </c>
      <c r="F3" s="3">
        <v>68.343781858123606</v>
      </c>
      <c r="G3" s="3">
        <v>175.69090559408701</v>
      </c>
      <c r="H3" s="3">
        <v>12.400140013829301</v>
      </c>
      <c r="I3" s="3">
        <v>83.220859064988005</v>
      </c>
      <c r="J3" s="3">
        <v>20.602441048982399</v>
      </c>
      <c r="K3" s="3">
        <v>34.498518664680901</v>
      </c>
    </row>
    <row r="4" spans="1:11" x14ac:dyDescent="0.25">
      <c r="A4" s="2" t="s">
        <v>26</v>
      </c>
      <c r="B4" s="3">
        <v>18.600030311367199</v>
      </c>
      <c r="C4" s="3">
        <v>52.404721160301499</v>
      </c>
      <c r="D4" s="3">
        <v>113.816435762061</v>
      </c>
      <c r="E4" s="3">
        <v>15.162810874999099</v>
      </c>
      <c r="F4" s="3">
        <v>67.286829033354095</v>
      </c>
      <c r="G4" s="3">
        <v>173.61005671490599</v>
      </c>
      <c r="H4" s="3">
        <v>11.388874068337</v>
      </c>
      <c r="I4" s="3">
        <v>82.703664807195096</v>
      </c>
      <c r="J4" s="3">
        <v>18.894276629943501</v>
      </c>
      <c r="K4" s="3">
        <v>26.534123327623298</v>
      </c>
    </row>
    <row r="5" spans="1:11" x14ac:dyDescent="0.25">
      <c r="A5" s="2" t="s">
        <v>27</v>
      </c>
      <c r="B5" s="3">
        <v>24.610905780309899</v>
      </c>
      <c r="C5" s="3">
        <v>59.393769830474902</v>
      </c>
      <c r="D5" s="3">
        <v>123.068285242193</v>
      </c>
      <c r="E5" s="3">
        <v>27.0227319697665</v>
      </c>
      <c r="F5" s="3">
        <v>94.359788875216097</v>
      </c>
      <c r="G5" s="3">
        <v>212.010807821019</v>
      </c>
      <c r="H5" s="3">
        <v>20.861022373155102</v>
      </c>
      <c r="I5" s="3">
        <v>113.730729138096</v>
      </c>
      <c r="J5" s="3">
        <v>40.748051874880701</v>
      </c>
      <c r="K5" s="3">
        <v>102.717989125047</v>
      </c>
    </row>
    <row r="6" spans="1:11" x14ac:dyDescent="0.25">
      <c r="A6" s="2" t="s">
        <v>29</v>
      </c>
      <c r="B6" s="3">
        <v>25.296075770711301</v>
      </c>
      <c r="C6" s="3">
        <v>53.864734785419998</v>
      </c>
      <c r="D6" s="3">
        <v>124.14068278764501</v>
      </c>
      <c r="E6" s="3">
        <v>18.467184465286799</v>
      </c>
      <c r="F6" s="3">
        <v>77.392475017109902</v>
      </c>
      <c r="G6" s="3">
        <v>190.38335862686</v>
      </c>
      <c r="H6" s="3">
        <v>16.373449489084901</v>
      </c>
      <c r="I6" s="3">
        <v>101.802570464951</v>
      </c>
      <c r="J6" s="3">
        <v>25.736223221377401</v>
      </c>
      <c r="K6" s="3">
        <v>48.5919255134406</v>
      </c>
    </row>
    <row r="8" spans="1:11" x14ac:dyDescent="0.2">
      <c r="A8" s="27" t="s">
        <v>0</v>
      </c>
      <c r="B8" s="29" t="s">
        <v>37</v>
      </c>
      <c r="C8" s="30"/>
      <c r="D8" s="30"/>
      <c r="E8" s="30"/>
      <c r="F8" s="30"/>
      <c r="G8" s="30"/>
      <c r="H8" s="30"/>
      <c r="I8" s="30"/>
      <c r="J8" s="30"/>
      <c r="K8" s="31"/>
    </row>
    <row r="9" spans="1:11" ht="14.25" x14ac:dyDescent="0.2">
      <c r="A9" s="28"/>
      <c r="B9" s="4" t="s">
        <v>15</v>
      </c>
      <c r="C9" s="4" t="s">
        <v>16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25</v>
      </c>
    </row>
    <row r="10" spans="1:11" x14ac:dyDescent="0.25">
      <c r="A10" s="6" t="s">
        <v>12</v>
      </c>
      <c r="B10" s="10">
        <f t="shared" ref="B10:K10" si="0">B1*0.277</f>
        <v>6.6214590563268523</v>
      </c>
      <c r="C10" s="10">
        <f t="shared" si="0"/>
        <v>14.622879429547542</v>
      </c>
      <c r="D10" s="10">
        <f t="shared" si="0"/>
        <v>32.611257200942653</v>
      </c>
      <c r="E10" s="10">
        <f t="shared" si="0"/>
        <v>4.8157153134457698</v>
      </c>
      <c r="F10" s="10">
        <f t="shared" si="0"/>
        <v>20.633498684318045</v>
      </c>
      <c r="G10" s="10">
        <f t="shared" si="0"/>
        <v>49.692096202080855</v>
      </c>
      <c r="H10" s="10">
        <f t="shared" si="0"/>
        <v>4.001637289779393</v>
      </c>
      <c r="I10" s="10">
        <f t="shared" si="0"/>
        <v>27.754907236641241</v>
      </c>
      <c r="J10" s="10">
        <f t="shared" si="0"/>
        <v>6.6592393672363466</v>
      </c>
      <c r="K10" s="10">
        <f t="shared" si="0"/>
        <v>12.57683333591592</v>
      </c>
    </row>
    <row r="11" spans="1:11" x14ac:dyDescent="0.25">
      <c r="A11" s="6" t="s">
        <v>13</v>
      </c>
      <c r="B11" s="10">
        <f t="shared" ref="B11:K11" si="1">B2*0.277</f>
        <v>6.6233276838150985</v>
      </c>
      <c r="C11" s="10">
        <f t="shared" si="1"/>
        <v>15.239648094726411</v>
      </c>
      <c r="D11" s="10">
        <f t="shared" si="1"/>
        <v>32.728716871171208</v>
      </c>
      <c r="E11" s="10">
        <f t="shared" si="1"/>
        <v>5.3464668791091414</v>
      </c>
      <c r="F11" s="10">
        <f t="shared" si="1"/>
        <v>22.086779211612932</v>
      </c>
      <c r="G11" s="10">
        <f t="shared" si="1"/>
        <v>51.823828644806682</v>
      </c>
      <c r="H11" s="10">
        <f t="shared" si="1"/>
        <v>4.3523131995948185</v>
      </c>
      <c r="I11" s="10">
        <f t="shared" si="1"/>
        <v>29.348541076509186</v>
      </c>
      <c r="J11" s="10">
        <f t="shared" si="1"/>
        <v>7.8353747809971255</v>
      </c>
      <c r="K11" s="10">
        <f t="shared" si="1"/>
        <v>17.059818222523322</v>
      </c>
    </row>
    <row r="12" spans="1:11" x14ac:dyDescent="0.25">
      <c r="A12" s="6" t="s">
        <v>17</v>
      </c>
      <c r="B12" s="10">
        <f t="shared" ref="B12:K12" si="2">B3*0.277</f>
        <v>5.15661816700334</v>
      </c>
      <c r="C12" s="10">
        <f t="shared" si="2"/>
        <v>14.52766052878237</v>
      </c>
      <c r="D12" s="10">
        <f t="shared" si="2"/>
        <v>31.757167917829467</v>
      </c>
      <c r="E12" s="10">
        <f t="shared" si="2"/>
        <v>4.4061363268824749</v>
      </c>
      <c r="F12" s="10">
        <f t="shared" si="2"/>
        <v>18.931227574700241</v>
      </c>
      <c r="G12" s="10">
        <f t="shared" si="2"/>
        <v>48.66638084956211</v>
      </c>
      <c r="H12" s="10">
        <f t="shared" si="2"/>
        <v>3.4348387838307164</v>
      </c>
      <c r="I12" s="10">
        <f t="shared" si="2"/>
        <v>23.052177961001679</v>
      </c>
      <c r="J12" s="10">
        <f t="shared" si="2"/>
        <v>5.7068761705681252</v>
      </c>
      <c r="K12" s="10">
        <f t="shared" si="2"/>
        <v>9.5560896701166111</v>
      </c>
    </row>
    <row r="13" spans="1:11" x14ac:dyDescent="0.25">
      <c r="A13" s="6" t="s">
        <v>26</v>
      </c>
      <c r="B13" s="10">
        <f t="shared" ref="B13:K13" si="3">B4*0.277</f>
        <v>5.1522083962487146</v>
      </c>
      <c r="C13" s="10">
        <f t="shared" si="3"/>
        <v>14.516107761403516</v>
      </c>
      <c r="D13" s="10">
        <f t="shared" si="3"/>
        <v>31.527152706090902</v>
      </c>
      <c r="E13" s="10">
        <f t="shared" si="3"/>
        <v>4.2000986123747506</v>
      </c>
      <c r="F13" s="10">
        <f t="shared" si="3"/>
        <v>18.638451642239087</v>
      </c>
      <c r="G13" s="10">
        <f t="shared" si="3"/>
        <v>48.089985710028962</v>
      </c>
      <c r="H13" s="10">
        <f t="shared" si="3"/>
        <v>3.1547181169293492</v>
      </c>
      <c r="I13" s="10">
        <f t="shared" si="3"/>
        <v>22.908915151593042</v>
      </c>
      <c r="J13" s="10">
        <f t="shared" si="3"/>
        <v>5.2337146264943506</v>
      </c>
      <c r="K13" s="10">
        <f t="shared" si="3"/>
        <v>7.3499521617516539</v>
      </c>
    </row>
    <row r="14" spans="1:11" x14ac:dyDescent="0.25">
      <c r="A14" s="6" t="s">
        <v>27</v>
      </c>
      <c r="B14" s="10">
        <f t="shared" ref="B14:K14" si="4">B5*0.277</f>
        <v>6.8172209011458422</v>
      </c>
      <c r="C14" s="10">
        <f t="shared" si="4"/>
        <v>16.452074243041551</v>
      </c>
      <c r="D14" s="10">
        <f t="shared" si="4"/>
        <v>34.089915012087467</v>
      </c>
      <c r="E14" s="10">
        <f t="shared" si="4"/>
        <v>7.4852967556253214</v>
      </c>
      <c r="F14" s="10">
        <f t="shared" si="4"/>
        <v>26.137661518434861</v>
      </c>
      <c r="G14" s="10">
        <f t="shared" si="4"/>
        <v>58.726993766422268</v>
      </c>
      <c r="H14" s="10">
        <f t="shared" si="4"/>
        <v>5.778503197363964</v>
      </c>
      <c r="I14" s="10">
        <f t="shared" si="4"/>
        <v>31.503411971252593</v>
      </c>
      <c r="J14" s="10">
        <f t="shared" si="4"/>
        <v>11.287210369341956</v>
      </c>
      <c r="K14" s="10">
        <f t="shared" si="4"/>
        <v>28.45288298763802</v>
      </c>
    </row>
    <row r="15" spans="1:11" x14ac:dyDescent="0.25">
      <c r="A15" s="6" t="s">
        <v>29</v>
      </c>
      <c r="B15" s="10">
        <f t="shared" ref="B15:K15" si="5">B6*0.277</f>
        <v>7.0070129884870314</v>
      </c>
      <c r="C15" s="10">
        <f t="shared" si="5"/>
        <v>14.920531535561341</v>
      </c>
      <c r="D15" s="10">
        <f t="shared" si="5"/>
        <v>34.386969132177668</v>
      </c>
      <c r="E15" s="10">
        <f t="shared" si="5"/>
        <v>5.1154100968844434</v>
      </c>
      <c r="F15" s="10">
        <f t="shared" si="5"/>
        <v>21.437715579739443</v>
      </c>
      <c r="G15" s="10">
        <f t="shared" si="5"/>
        <v>52.736190339640224</v>
      </c>
      <c r="H15" s="10">
        <f t="shared" si="5"/>
        <v>4.535445508476518</v>
      </c>
      <c r="I15" s="10">
        <f t="shared" si="5"/>
        <v>28.199312018791431</v>
      </c>
      <c r="J15" s="10">
        <f t="shared" si="5"/>
        <v>7.1289338323215405</v>
      </c>
      <c r="K15" s="10">
        <f t="shared" si="5"/>
        <v>13.459963367223047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8:A9"/>
    <mergeCell ref="B8:K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1"/>
  <sheetViews>
    <sheetView workbookViewId="0"/>
  </sheetViews>
  <sheetFormatPr defaultColWidth="12.625" defaultRowHeight="15" customHeight="1" x14ac:dyDescent="0.2"/>
  <cols>
    <col min="1" max="1" width="8.125" customWidth="1"/>
    <col min="2" max="26" width="5.75" customWidth="1"/>
  </cols>
  <sheetData>
    <row r="1" spans="1:11" x14ac:dyDescent="0.25">
      <c r="A1" s="2" t="s">
        <v>12</v>
      </c>
      <c r="B1" s="3">
        <v>62.932470369750298</v>
      </c>
      <c r="C1" s="3">
        <v>335.26147771163198</v>
      </c>
      <c r="D1" s="3">
        <v>439.973049466801</v>
      </c>
      <c r="E1" s="3">
        <v>56.3479120624595</v>
      </c>
      <c r="F1" s="3">
        <v>256.257192638042</v>
      </c>
      <c r="G1" s="3">
        <v>575.23796001630205</v>
      </c>
      <c r="H1" s="3">
        <v>73.165370074131303</v>
      </c>
      <c r="I1" s="3">
        <v>402.93428398868701</v>
      </c>
      <c r="J1" s="3">
        <v>158.148865894762</v>
      </c>
      <c r="K1" s="3">
        <v>149.67528307557001</v>
      </c>
    </row>
    <row r="2" spans="1:11" x14ac:dyDescent="0.25">
      <c r="A2" s="2" t="s">
        <v>13</v>
      </c>
      <c r="B2" s="3">
        <v>63.192941014251303</v>
      </c>
      <c r="C2" s="3">
        <v>338.54041324058602</v>
      </c>
      <c r="D2" s="3">
        <v>439.84109084166602</v>
      </c>
      <c r="E2" s="3">
        <v>58.257340636553302</v>
      </c>
      <c r="F2" s="3">
        <v>263.564713746221</v>
      </c>
      <c r="G2" s="3">
        <v>582.59098595181297</v>
      </c>
      <c r="H2" s="3">
        <v>76.006143463373803</v>
      </c>
      <c r="I2" s="3">
        <v>406.79103001806101</v>
      </c>
      <c r="J2" s="3">
        <v>162.16391437799501</v>
      </c>
      <c r="K2" s="3">
        <v>172.39955573269799</v>
      </c>
    </row>
    <row r="3" spans="1:11" x14ac:dyDescent="0.25">
      <c r="A3" s="2" t="s">
        <v>17</v>
      </c>
      <c r="B3" s="3">
        <v>74.655530095090896</v>
      </c>
      <c r="C3" s="3">
        <v>334.51630417427901</v>
      </c>
      <c r="D3" s="3">
        <v>437.158434962831</v>
      </c>
      <c r="E3" s="3">
        <v>54.5259683666401</v>
      </c>
      <c r="F3" s="3">
        <v>218.240879332014</v>
      </c>
      <c r="G3" s="3">
        <v>548.096089494696</v>
      </c>
      <c r="H3" s="3">
        <v>72.187553628725496</v>
      </c>
      <c r="I3" s="3">
        <v>207.15880474052199</v>
      </c>
      <c r="J3" s="3">
        <v>155.828320939534</v>
      </c>
      <c r="K3" s="3">
        <v>141.667629852971</v>
      </c>
    </row>
    <row r="4" spans="1:11" x14ac:dyDescent="0.25">
      <c r="A4" s="2" t="s">
        <v>26</v>
      </c>
      <c r="B4" s="3">
        <v>74.639780828750006</v>
      </c>
      <c r="C4" s="3">
        <v>334.42625111308399</v>
      </c>
      <c r="D4" s="3">
        <v>436.06366646587799</v>
      </c>
      <c r="E4" s="3">
        <v>53.118570106726303</v>
      </c>
      <c r="F4" s="3">
        <v>216.607089416777</v>
      </c>
      <c r="G4" s="3">
        <v>542.79594658337703</v>
      </c>
      <c r="H4" s="3">
        <v>71.726206712171702</v>
      </c>
      <c r="I4" s="3">
        <v>206.106559838995</v>
      </c>
      <c r="J4" s="3">
        <v>154.108076094875</v>
      </c>
      <c r="K4" s="3">
        <v>134.52344310796701</v>
      </c>
    </row>
    <row r="5" spans="1:11" x14ac:dyDescent="0.25">
      <c r="A5" s="2" t="s">
        <v>27</v>
      </c>
      <c r="B5" s="3">
        <v>65.5555937083261</v>
      </c>
      <c r="C5" s="3">
        <v>347.19528398853498</v>
      </c>
      <c r="D5" s="3">
        <v>449.54001611951401</v>
      </c>
      <c r="E5" s="3">
        <v>68.473530632271803</v>
      </c>
      <c r="F5" s="3">
        <v>281.73522355356198</v>
      </c>
      <c r="G5" s="3">
        <v>614.677277618228</v>
      </c>
      <c r="H5" s="3">
        <v>82.771405469409103</v>
      </c>
      <c r="I5" s="3">
        <v>415.14835852336699</v>
      </c>
      <c r="J5" s="3">
        <v>173.64136626689401</v>
      </c>
      <c r="K5" s="3">
        <v>214.881523884644</v>
      </c>
    </row>
    <row r="6" spans="1:11" x14ac:dyDescent="0.25">
      <c r="A6" s="2" t="s">
        <v>29</v>
      </c>
      <c r="B6" s="3">
        <v>68.030666505687705</v>
      </c>
      <c r="C6" s="3">
        <v>338.14713409357398</v>
      </c>
      <c r="D6" s="3">
        <v>458.91795157266199</v>
      </c>
      <c r="E6" s="3">
        <v>58.417695184275502</v>
      </c>
      <c r="F6" s="3">
        <v>266.53828418079502</v>
      </c>
      <c r="G6" s="3">
        <v>606.26887107037305</v>
      </c>
      <c r="H6" s="3">
        <v>73.970561324453698</v>
      </c>
      <c r="I6" s="3">
        <v>411.34653893660499</v>
      </c>
      <c r="J6" s="3">
        <v>160.360139683505</v>
      </c>
      <c r="K6" s="3">
        <v>152.66472339738701</v>
      </c>
    </row>
    <row r="8" spans="1:11" x14ac:dyDescent="0.2">
      <c r="A8" s="27" t="s">
        <v>0</v>
      </c>
      <c r="B8" s="29" t="s">
        <v>30</v>
      </c>
      <c r="C8" s="30"/>
      <c r="D8" s="30"/>
      <c r="E8" s="30"/>
      <c r="F8" s="30"/>
      <c r="G8" s="30"/>
      <c r="H8" s="30"/>
      <c r="I8" s="30"/>
      <c r="J8" s="30"/>
      <c r="K8" s="31"/>
    </row>
    <row r="9" spans="1:11" ht="14.25" x14ac:dyDescent="0.2">
      <c r="A9" s="28"/>
      <c r="B9" s="4" t="s">
        <v>15</v>
      </c>
      <c r="C9" s="4" t="s">
        <v>16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25</v>
      </c>
    </row>
    <row r="10" spans="1:11" x14ac:dyDescent="0.25">
      <c r="A10" s="6" t="s">
        <v>12</v>
      </c>
      <c r="B10" s="10">
        <f t="shared" ref="B10:K10" si="0">B1*0.277</f>
        <v>17.432294292420835</v>
      </c>
      <c r="C10" s="10">
        <f t="shared" si="0"/>
        <v>92.867429326122064</v>
      </c>
      <c r="D10" s="10">
        <f t="shared" si="0"/>
        <v>121.87253470230388</v>
      </c>
      <c r="E10" s="10">
        <f t="shared" si="0"/>
        <v>15.608371641301282</v>
      </c>
      <c r="F10" s="10">
        <f t="shared" si="0"/>
        <v>70.983242360737634</v>
      </c>
      <c r="G10" s="10">
        <f t="shared" si="0"/>
        <v>159.34091492451569</v>
      </c>
      <c r="H10" s="10">
        <f t="shared" si="0"/>
        <v>20.266807510534374</v>
      </c>
      <c r="I10" s="10">
        <f t="shared" si="0"/>
        <v>111.61279666486631</v>
      </c>
      <c r="J10" s="10">
        <f t="shared" si="0"/>
        <v>43.807235852849075</v>
      </c>
      <c r="K10" s="10">
        <f t="shared" si="0"/>
        <v>41.460053411932897</v>
      </c>
    </row>
    <row r="11" spans="1:11" x14ac:dyDescent="0.25">
      <c r="A11" s="6" t="s">
        <v>13</v>
      </c>
      <c r="B11" s="10">
        <f t="shared" ref="B11:K11" si="1">B2*0.277</f>
        <v>17.504444660947613</v>
      </c>
      <c r="C11" s="10">
        <f t="shared" si="1"/>
        <v>93.775694467642339</v>
      </c>
      <c r="D11" s="10">
        <f t="shared" si="1"/>
        <v>121.83598216314149</v>
      </c>
      <c r="E11" s="10">
        <f t="shared" si="1"/>
        <v>16.137283356325266</v>
      </c>
      <c r="F11" s="10">
        <f t="shared" si="1"/>
        <v>73.00742570770322</v>
      </c>
      <c r="G11" s="10">
        <f t="shared" si="1"/>
        <v>161.37770310865221</v>
      </c>
      <c r="H11" s="10">
        <f t="shared" si="1"/>
        <v>21.053701739354544</v>
      </c>
      <c r="I11" s="10">
        <f t="shared" si="1"/>
        <v>112.68111531500291</v>
      </c>
      <c r="J11" s="10">
        <f t="shared" si="1"/>
        <v>44.919404282704626</v>
      </c>
      <c r="K11" s="10">
        <f t="shared" si="1"/>
        <v>47.754676937957349</v>
      </c>
    </row>
    <row r="12" spans="1:11" x14ac:dyDescent="0.25">
      <c r="A12" s="6" t="s">
        <v>17</v>
      </c>
      <c r="B12" s="10">
        <f t="shared" ref="B12:K12" si="2">B3*0.277</f>
        <v>20.67958183634018</v>
      </c>
      <c r="C12" s="10">
        <f t="shared" si="2"/>
        <v>92.661016256275289</v>
      </c>
      <c r="D12" s="10">
        <f t="shared" si="2"/>
        <v>121.0928864847042</v>
      </c>
      <c r="E12" s="10">
        <f t="shared" si="2"/>
        <v>15.103693237559309</v>
      </c>
      <c r="F12" s="10">
        <f t="shared" si="2"/>
        <v>60.452723574967884</v>
      </c>
      <c r="G12" s="10">
        <f t="shared" si="2"/>
        <v>151.82261679003079</v>
      </c>
      <c r="H12" s="10">
        <f t="shared" si="2"/>
        <v>19.995952355156962</v>
      </c>
      <c r="I12" s="10">
        <f t="shared" si="2"/>
        <v>57.382988913124592</v>
      </c>
      <c r="J12" s="10">
        <f t="shared" si="2"/>
        <v>43.164444900250921</v>
      </c>
      <c r="K12" s="10">
        <f t="shared" si="2"/>
        <v>39.241933469272972</v>
      </c>
    </row>
    <row r="13" spans="1:11" x14ac:dyDescent="0.25">
      <c r="A13" s="6" t="s">
        <v>26</v>
      </c>
      <c r="B13" s="10">
        <f t="shared" ref="B13:K13" si="3">B4*0.277</f>
        <v>20.675219289563753</v>
      </c>
      <c r="C13" s="10">
        <f t="shared" si="3"/>
        <v>92.636071558324275</v>
      </c>
      <c r="D13" s="10">
        <f t="shared" si="3"/>
        <v>120.78963561104821</v>
      </c>
      <c r="E13" s="10">
        <f t="shared" si="3"/>
        <v>14.713843919563187</v>
      </c>
      <c r="F13" s="10">
        <f t="shared" si="3"/>
        <v>60.000163768447237</v>
      </c>
      <c r="G13" s="10">
        <f t="shared" si="3"/>
        <v>150.35447720359545</v>
      </c>
      <c r="H13" s="10">
        <f t="shared" si="3"/>
        <v>19.868159259271565</v>
      </c>
      <c r="I13" s="10">
        <f t="shared" si="3"/>
        <v>57.091517075401619</v>
      </c>
      <c r="J13" s="10">
        <f t="shared" si="3"/>
        <v>42.687937078280378</v>
      </c>
      <c r="K13" s="10">
        <f t="shared" si="3"/>
        <v>37.262993740906865</v>
      </c>
    </row>
    <row r="14" spans="1:11" x14ac:dyDescent="0.25">
      <c r="A14" s="6" t="s">
        <v>27</v>
      </c>
      <c r="B14" s="10">
        <f t="shared" ref="B14:K14" si="4">B5*0.277</f>
        <v>18.158899457206331</v>
      </c>
      <c r="C14" s="10">
        <f t="shared" si="4"/>
        <v>96.173093664824194</v>
      </c>
      <c r="D14" s="10">
        <f t="shared" si="4"/>
        <v>124.5225844651054</v>
      </c>
      <c r="E14" s="10">
        <f t="shared" si="4"/>
        <v>18.967167985139291</v>
      </c>
      <c r="F14" s="10">
        <f t="shared" si="4"/>
        <v>78.040656924336673</v>
      </c>
      <c r="G14" s="10">
        <f t="shared" si="4"/>
        <v>170.26560590024917</v>
      </c>
      <c r="H14" s="10">
        <f t="shared" si="4"/>
        <v>22.927679315026325</v>
      </c>
      <c r="I14" s="10">
        <f t="shared" si="4"/>
        <v>114.99609531097266</v>
      </c>
      <c r="J14" s="10">
        <f t="shared" si="4"/>
        <v>48.098658455929645</v>
      </c>
      <c r="K14" s="10">
        <f t="shared" si="4"/>
        <v>59.522182116046395</v>
      </c>
    </row>
    <row r="15" spans="1:11" x14ac:dyDescent="0.25">
      <c r="A15" s="6" t="s">
        <v>29</v>
      </c>
      <c r="B15" s="10">
        <f t="shared" ref="B15:K15" si="5">B6*0.277</f>
        <v>18.844494622075494</v>
      </c>
      <c r="C15" s="10">
        <f t="shared" si="5"/>
        <v>93.666756143919997</v>
      </c>
      <c r="D15" s="10">
        <f t="shared" si="5"/>
        <v>127.12027258562738</v>
      </c>
      <c r="E15" s="10">
        <f t="shared" si="5"/>
        <v>16.181701566044314</v>
      </c>
      <c r="F15" s="10">
        <f t="shared" si="5"/>
        <v>73.831104718080226</v>
      </c>
      <c r="G15" s="10">
        <f t="shared" si="5"/>
        <v>167.93647728649336</v>
      </c>
      <c r="H15" s="10">
        <f t="shared" si="5"/>
        <v>20.489845486873676</v>
      </c>
      <c r="I15" s="10">
        <f t="shared" si="5"/>
        <v>113.94299128543959</v>
      </c>
      <c r="J15" s="10">
        <f t="shared" si="5"/>
        <v>44.419758692330888</v>
      </c>
      <c r="K15" s="10">
        <f t="shared" si="5"/>
        <v>42.288128381076206</v>
      </c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A8:A9"/>
    <mergeCell ref="B8:K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2"/>
  <sheetViews>
    <sheetView workbookViewId="0"/>
  </sheetViews>
  <sheetFormatPr defaultColWidth="12.625" defaultRowHeight="15" customHeight="1" x14ac:dyDescent="0.2"/>
  <cols>
    <col min="1" max="1" width="7.25" customWidth="1"/>
    <col min="2" max="26" width="5.75" customWidth="1"/>
  </cols>
  <sheetData>
    <row r="1" spans="1:11" x14ac:dyDescent="0.2">
      <c r="A1" s="27" t="s">
        <v>0</v>
      </c>
      <c r="B1" s="29" t="s">
        <v>40</v>
      </c>
      <c r="C1" s="30"/>
      <c r="D1" s="30"/>
      <c r="E1" s="30"/>
      <c r="F1" s="30"/>
      <c r="G1" s="30"/>
      <c r="H1" s="30"/>
      <c r="I1" s="30"/>
      <c r="J1" s="30"/>
      <c r="K1" s="31"/>
    </row>
    <row r="2" spans="1:11" ht="14.25" x14ac:dyDescent="0.2">
      <c r="A2" s="28"/>
      <c r="B2" s="4" t="s">
        <v>15</v>
      </c>
      <c r="C2" s="4" t="s">
        <v>16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1:11" ht="14.25" x14ac:dyDescent="0.2">
      <c r="A3" s="6" t="s">
        <v>12</v>
      </c>
      <c r="B3" s="15">
        <v>5.9936166131375E-2</v>
      </c>
      <c r="C3" s="15">
        <v>4.98306075821327E-3</v>
      </c>
      <c r="D3" s="15">
        <v>2.62042328918939E-2</v>
      </c>
      <c r="E3" s="15">
        <v>2.0331923360249901E-2</v>
      </c>
      <c r="F3" s="15">
        <v>8.1041892067237904E-3</v>
      </c>
      <c r="G3" s="15">
        <v>7.1664934904643804E-2</v>
      </c>
      <c r="H3" s="15">
        <v>7.51645561899833E-3</v>
      </c>
      <c r="I3" s="15">
        <v>2.0817089800131E-2</v>
      </c>
      <c r="J3" s="15">
        <v>9.2088095442174195E-3</v>
      </c>
      <c r="K3" s="15">
        <v>7.2389578084141202E-3</v>
      </c>
    </row>
    <row r="4" spans="1:11" ht="14.25" x14ac:dyDescent="0.2">
      <c r="A4" s="6" t="s">
        <v>13</v>
      </c>
      <c r="B4" s="15">
        <v>6.08426971163879E-2</v>
      </c>
      <c r="C4" s="15">
        <v>5.0472961665661399E-3</v>
      </c>
      <c r="D4" s="15">
        <v>2.6401841961341099E-2</v>
      </c>
      <c r="E4" s="15">
        <v>2.0182012060769399E-2</v>
      </c>
      <c r="F4" s="15">
        <v>8.3012200808456199E-3</v>
      </c>
      <c r="G4" s="15">
        <v>7.3428458999219903E-2</v>
      </c>
      <c r="H4" s="15">
        <v>7.6805004780531802E-3</v>
      </c>
      <c r="I4" s="15">
        <v>2.0840433777641099E-2</v>
      </c>
      <c r="J4" s="15">
        <v>9.4220344528631698E-3</v>
      </c>
      <c r="K4" s="15">
        <v>7.3549611029410499E-3</v>
      </c>
    </row>
    <row r="5" spans="1:11" ht="14.25" x14ac:dyDescent="0.2">
      <c r="A5" s="6" t="s">
        <v>17</v>
      </c>
      <c r="B5" s="15">
        <v>6.2118568485290203E-2</v>
      </c>
      <c r="C5" s="15">
        <v>5.1815792258605303E-3</v>
      </c>
      <c r="D5" s="15">
        <v>3.83347506259498E-2</v>
      </c>
      <c r="E5" s="15">
        <v>2.7714505197806601E-2</v>
      </c>
      <c r="F5" s="15">
        <v>9.5218205730856192E-3</v>
      </c>
      <c r="G5" s="15">
        <v>8.4907775580046793E-2</v>
      </c>
      <c r="H5" s="15">
        <v>8.0678653441720195E-3</v>
      </c>
      <c r="I5" s="15">
        <v>2.2919854735526698E-2</v>
      </c>
      <c r="J5" s="15">
        <v>9.6522562909835807E-3</v>
      </c>
      <c r="K5" s="15">
        <v>1.0350886577419401E-2</v>
      </c>
    </row>
    <row r="6" spans="1:11" ht="14.25" x14ac:dyDescent="0.2">
      <c r="A6" s="6" t="s">
        <v>26</v>
      </c>
      <c r="B6" s="15">
        <v>6.2432936765763898E-2</v>
      </c>
      <c r="C6" s="15">
        <v>5.2458149243921797E-3</v>
      </c>
      <c r="D6" s="15">
        <v>4.1786746073505E-2</v>
      </c>
      <c r="E6" s="15">
        <v>3.1409464098550402E-2</v>
      </c>
      <c r="F6" s="15">
        <v>1.0078582045450001E-2</v>
      </c>
      <c r="G6" s="15">
        <v>8.8531491784554606E-2</v>
      </c>
      <c r="H6" s="15">
        <v>8.2751420419997102E-3</v>
      </c>
      <c r="I6" s="15">
        <v>2.4349147832236399E-2</v>
      </c>
      <c r="J6" s="15">
        <v>9.8806958901762401E-3</v>
      </c>
      <c r="K6" s="15">
        <v>1.10334389401221E-2</v>
      </c>
    </row>
    <row r="7" spans="1:11" ht="14.25" x14ac:dyDescent="0.2">
      <c r="A7" s="6" t="s">
        <v>27</v>
      </c>
      <c r="B7" s="15">
        <v>7.6185045163675705E-2</v>
      </c>
      <c r="C7" s="15">
        <v>2.05625141056455E-2</v>
      </c>
      <c r="D7" s="15">
        <v>7.1655585751822806E-2</v>
      </c>
      <c r="E7" s="15">
        <v>2.8099731217581098E-2</v>
      </c>
      <c r="F7" s="15">
        <v>4.8147974904767001E-2</v>
      </c>
      <c r="G7" s="15">
        <v>0.154125285136124</v>
      </c>
      <c r="H7" s="15">
        <v>1.91430338267322E-2</v>
      </c>
      <c r="I7" s="15">
        <v>4.3672329550087798E-2</v>
      </c>
      <c r="J7" s="15">
        <v>2.58700951391156E-2</v>
      </c>
      <c r="K7" s="15">
        <v>3.8949984606569503E-2</v>
      </c>
    </row>
    <row r="8" spans="1:11" ht="14.25" x14ac:dyDescent="0.2">
      <c r="A8" s="6" t="s">
        <v>29</v>
      </c>
      <c r="B8" s="15">
        <v>0.22081602250980001</v>
      </c>
      <c r="C8" s="15">
        <v>0.21265499949738301</v>
      </c>
      <c r="D8" s="15">
        <v>0.48345981918157199</v>
      </c>
      <c r="E8" s="15">
        <v>9.41280244288729E-2</v>
      </c>
      <c r="F8" s="15">
        <v>0.63794948066427304</v>
      </c>
      <c r="G8" s="15">
        <v>1.0760120893698</v>
      </c>
      <c r="H8" s="15">
        <v>0.25263108428911502</v>
      </c>
      <c r="I8" s="15">
        <v>0.28692418304124501</v>
      </c>
      <c r="J8" s="15">
        <v>0.35138975487676199</v>
      </c>
      <c r="K8" s="15">
        <v>0.66511747031060797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1:A2"/>
    <mergeCell ref="B1:K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2"/>
  <sheetViews>
    <sheetView workbookViewId="0"/>
  </sheetViews>
  <sheetFormatPr defaultColWidth="12.625" defaultRowHeight="15" customHeight="1" x14ac:dyDescent="0.2"/>
  <cols>
    <col min="1" max="1" width="7.25" customWidth="1"/>
    <col min="2" max="26" width="5.75" customWidth="1"/>
  </cols>
  <sheetData>
    <row r="1" spans="1:11" x14ac:dyDescent="0.25">
      <c r="A1" s="27" t="s">
        <v>0</v>
      </c>
      <c r="B1" s="32" t="s">
        <v>42</v>
      </c>
      <c r="C1" s="30"/>
      <c r="D1" s="30"/>
      <c r="E1" s="30"/>
      <c r="F1" s="30"/>
      <c r="G1" s="30"/>
      <c r="H1" s="30"/>
      <c r="I1" s="30"/>
      <c r="J1" s="30"/>
      <c r="K1" s="31"/>
    </row>
    <row r="2" spans="1:11" x14ac:dyDescent="0.25">
      <c r="A2" s="28"/>
      <c r="B2" s="10" t="s">
        <v>15</v>
      </c>
      <c r="C2" s="10" t="s">
        <v>16</v>
      </c>
      <c r="D2" s="10" t="s">
        <v>18</v>
      </c>
      <c r="E2" s="10" t="s">
        <v>19</v>
      </c>
      <c r="F2" s="10" t="s">
        <v>20</v>
      </c>
      <c r="G2" s="10" t="s">
        <v>21</v>
      </c>
      <c r="H2" s="17" t="s">
        <v>22</v>
      </c>
      <c r="I2" s="10" t="s">
        <v>23</v>
      </c>
      <c r="J2" s="10" t="s">
        <v>24</v>
      </c>
      <c r="K2" s="10" t="s">
        <v>25</v>
      </c>
    </row>
    <row r="3" spans="1:11" ht="14.25" x14ac:dyDescent="0.2">
      <c r="A3" s="6" t="s">
        <v>12</v>
      </c>
      <c r="B3" s="7">
        <v>448.40086428778801</v>
      </c>
      <c r="C3" s="7">
        <v>24.740566581455699</v>
      </c>
      <c r="D3" s="7">
        <v>705.99323980980705</v>
      </c>
      <c r="E3" s="7">
        <v>149.78976663604899</v>
      </c>
      <c r="F3" s="7">
        <v>488.16978445161197</v>
      </c>
      <c r="G3" s="7">
        <v>1202.68530686947</v>
      </c>
      <c r="H3" s="15">
        <v>6.4992743572643303E-3</v>
      </c>
      <c r="I3" s="7">
        <v>467.03281243386601</v>
      </c>
      <c r="J3" s="7">
        <v>0.26315980823978202</v>
      </c>
      <c r="K3" s="7">
        <v>8.1410352083499706</v>
      </c>
    </row>
    <row r="4" spans="1:11" ht="14.25" x14ac:dyDescent="0.2">
      <c r="A4" s="6" t="s">
        <v>13</v>
      </c>
      <c r="B4" s="7">
        <v>447.07447126660202</v>
      </c>
      <c r="C4" s="7">
        <v>24.7407999667433</v>
      </c>
      <c r="D4" s="7">
        <v>702.20225351834802</v>
      </c>
      <c r="E4" s="7">
        <v>142.27398099953899</v>
      </c>
      <c r="F4" s="7">
        <v>486.92296874356799</v>
      </c>
      <c r="G4" s="7">
        <v>1198.97599960397</v>
      </c>
      <c r="H4" s="15">
        <v>6.5037213904566901E-3</v>
      </c>
      <c r="I4" s="7">
        <v>465.774664500695</v>
      </c>
      <c r="J4" s="7">
        <v>0.26316149277229001</v>
      </c>
      <c r="K4" s="7">
        <v>8.1409775371739297</v>
      </c>
    </row>
    <row r="5" spans="1:11" ht="14.25" x14ac:dyDescent="0.2">
      <c r="A5" s="6" t="s">
        <v>17</v>
      </c>
      <c r="B5" s="7">
        <v>858.54835171201603</v>
      </c>
      <c r="C5" s="7">
        <v>24.740705181349</v>
      </c>
      <c r="D5" s="7">
        <v>774.76658583141295</v>
      </c>
      <c r="E5" s="7">
        <v>194.768964749264</v>
      </c>
      <c r="F5" s="7">
        <v>905.35225043380103</v>
      </c>
      <c r="G5" s="7">
        <v>2081.8139819982098</v>
      </c>
      <c r="H5" s="15">
        <v>8.3624922065576295E-3</v>
      </c>
      <c r="I5" s="7">
        <v>1649.81727499313</v>
      </c>
      <c r="J5" s="7">
        <v>0.666581998504713</v>
      </c>
      <c r="K5" s="7">
        <v>37.225123286417897</v>
      </c>
    </row>
    <row r="6" spans="1:11" ht="14.25" x14ac:dyDescent="0.2">
      <c r="A6" s="6" t="s">
        <v>26</v>
      </c>
      <c r="B6" s="7">
        <v>858.54827443065903</v>
      </c>
      <c r="C6" s="7">
        <v>24.7406906602662</v>
      </c>
      <c r="D6" s="7">
        <v>774.39526752601705</v>
      </c>
      <c r="E6" s="7">
        <v>194.79749949593099</v>
      </c>
      <c r="F6" s="7">
        <v>904.90680030749797</v>
      </c>
      <c r="G6" s="7">
        <v>2081.8139333172599</v>
      </c>
      <c r="H6" s="15">
        <v>9.2852705656835607E-3</v>
      </c>
      <c r="I6" s="7">
        <v>1649.76417584859</v>
      </c>
      <c r="J6" s="7">
        <v>0.666909972549521</v>
      </c>
      <c r="K6" s="7">
        <v>37.289604570198698</v>
      </c>
    </row>
    <row r="7" spans="1:11" ht="14.25" x14ac:dyDescent="0.2">
      <c r="A7" s="6" t="s">
        <v>27</v>
      </c>
      <c r="B7" s="7">
        <v>448.342721724466</v>
      </c>
      <c r="C7" s="7">
        <v>24.740859779655999</v>
      </c>
      <c r="D7" s="7">
        <v>706.10939681670504</v>
      </c>
      <c r="E7" s="7">
        <v>150.10206997504801</v>
      </c>
      <c r="F7" s="7">
        <v>488.13460686279302</v>
      </c>
      <c r="G7" s="7">
        <v>1202.4968754506101</v>
      </c>
      <c r="H7" s="15">
        <v>1.6715519186074099E-2</v>
      </c>
      <c r="I7" s="7">
        <v>467.00301641297801</v>
      </c>
      <c r="J7" s="7">
        <v>0.27560291402099801</v>
      </c>
      <c r="K7" s="7">
        <v>8.1484082969251599</v>
      </c>
    </row>
    <row r="8" spans="1:11" ht="14.25" x14ac:dyDescent="0.2">
      <c r="A8" s="6" t="s">
        <v>29</v>
      </c>
      <c r="B8" s="7">
        <v>448.34229167231399</v>
      </c>
      <c r="C8" s="7">
        <v>24.740778049865</v>
      </c>
      <c r="D8" s="7">
        <v>706.22000696661803</v>
      </c>
      <c r="E8" s="7">
        <v>150.05585143270599</v>
      </c>
      <c r="F8" s="7">
        <v>488.25492716556602</v>
      </c>
      <c r="G8" s="7">
        <v>1202.58879611304</v>
      </c>
      <c r="H8" s="15">
        <v>0.21410650801685299</v>
      </c>
      <c r="I8" s="7">
        <v>466.99142786162599</v>
      </c>
      <c r="J8" s="7">
        <v>0.57467961495151998</v>
      </c>
      <c r="K8" s="7">
        <v>8.2392294432025892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1:A2"/>
    <mergeCell ref="B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2"/>
  <sheetViews>
    <sheetView workbookViewId="0"/>
  </sheetViews>
  <sheetFormatPr defaultColWidth="12.625" defaultRowHeight="15" customHeight="1" x14ac:dyDescent="0.2"/>
  <cols>
    <col min="1" max="1" width="8" customWidth="1"/>
    <col min="2" max="26" width="5.75" customWidth="1"/>
  </cols>
  <sheetData>
    <row r="1" spans="1:11" x14ac:dyDescent="0.25">
      <c r="A1" s="27" t="s">
        <v>0</v>
      </c>
      <c r="B1" s="33" t="s">
        <v>41</v>
      </c>
      <c r="C1" s="30"/>
      <c r="D1" s="30"/>
      <c r="E1" s="30"/>
      <c r="F1" s="30"/>
      <c r="G1" s="30"/>
      <c r="H1" s="30"/>
      <c r="I1" s="30"/>
      <c r="J1" s="30"/>
      <c r="K1" s="31"/>
    </row>
    <row r="2" spans="1:11" x14ac:dyDescent="0.25">
      <c r="A2" s="28"/>
      <c r="B2" s="16" t="s">
        <v>15</v>
      </c>
      <c r="C2" s="16" t="s">
        <v>16</v>
      </c>
      <c r="D2" s="16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</row>
    <row r="3" spans="1:11" x14ac:dyDescent="0.25">
      <c r="A3" s="2" t="s">
        <v>12</v>
      </c>
      <c r="B3" s="15">
        <v>4.6318896875701702E-3</v>
      </c>
      <c r="C3" s="15">
        <v>3.3631342048549501E-3</v>
      </c>
      <c r="D3" s="15">
        <v>9.4233293145293606E-2</v>
      </c>
      <c r="E3" s="15">
        <v>2.6778627733541598E-2</v>
      </c>
      <c r="F3" s="15">
        <v>8.4451090236498504E-3</v>
      </c>
      <c r="G3" s="15">
        <v>1.1050801725534E-2</v>
      </c>
      <c r="H3" s="15">
        <v>4.32076690607549E-4</v>
      </c>
      <c r="I3" s="15">
        <v>0.16481400297386301</v>
      </c>
      <c r="J3" s="15">
        <v>2.9361103254287599E-5</v>
      </c>
      <c r="K3" s="15">
        <v>2.15477266494437E-4</v>
      </c>
    </row>
    <row r="4" spans="1:11" x14ac:dyDescent="0.25">
      <c r="A4" s="2" t="s">
        <v>13</v>
      </c>
      <c r="B4" s="15">
        <v>4.7657947927152904E-3</v>
      </c>
      <c r="C4" s="15">
        <v>3.4577013435733799E-3</v>
      </c>
      <c r="D4" s="15">
        <v>9.5285109480483896E-2</v>
      </c>
      <c r="E4" s="15">
        <v>2.7536861940001201E-2</v>
      </c>
      <c r="F4" s="15">
        <v>8.6706487437033103E-3</v>
      </c>
      <c r="G4" s="15">
        <v>1.12535360820231E-2</v>
      </c>
      <c r="H4" s="15">
        <v>4.3301618977203201E-4</v>
      </c>
      <c r="I4" s="15">
        <v>0.167051138842433</v>
      </c>
      <c r="J4" s="15">
        <v>2.5723674620905099E-5</v>
      </c>
      <c r="K4" s="15">
        <v>1.7359525151918899E-4</v>
      </c>
    </row>
    <row r="5" spans="1:11" x14ac:dyDescent="0.25">
      <c r="A5" s="2" t="s">
        <v>17</v>
      </c>
      <c r="B5" s="15">
        <v>5.48143636050848E-3</v>
      </c>
      <c r="C5" s="15">
        <v>4.43659044886656E-3</v>
      </c>
      <c r="D5" s="15">
        <v>0.11453370251459399</v>
      </c>
      <c r="E5" s="15">
        <v>3.64234356513288E-2</v>
      </c>
      <c r="F5" s="15">
        <v>1.0150281289523401E-2</v>
      </c>
      <c r="G5" s="15">
        <v>2.1479572275313E-2</v>
      </c>
      <c r="H5" s="15">
        <v>1.23841458049924E-3</v>
      </c>
      <c r="I5" s="15">
        <v>0.16949056624683401</v>
      </c>
      <c r="J5" s="15">
        <v>1.8881193786444999E-4</v>
      </c>
      <c r="K5" s="15">
        <v>6.3136107186177398E-3</v>
      </c>
    </row>
    <row r="6" spans="1:11" x14ac:dyDescent="0.25">
      <c r="A6" s="2" t="s">
        <v>26</v>
      </c>
      <c r="B6" s="15">
        <v>5.8952673006694599E-3</v>
      </c>
      <c r="C6" s="15">
        <v>4.8357313219524901E-3</v>
      </c>
      <c r="D6" s="15">
        <v>0.11869134184320999</v>
      </c>
      <c r="E6" s="15">
        <v>4.0157262020723998E-2</v>
      </c>
      <c r="F6" s="15">
        <v>1.0740037673554401E-2</v>
      </c>
      <c r="G6" s="15">
        <v>2.5822490031770801E-2</v>
      </c>
      <c r="H6" s="15">
        <v>1.63933548412109E-3</v>
      </c>
      <c r="I6" s="15">
        <v>0.16946455522617301</v>
      </c>
      <c r="J6" s="15">
        <v>2.8055985114807601E-4</v>
      </c>
      <c r="K6" s="15">
        <v>7.2352088496328701E-3</v>
      </c>
    </row>
    <row r="7" spans="1:11" x14ac:dyDescent="0.25">
      <c r="A7" s="2" t="s">
        <v>27</v>
      </c>
      <c r="B7" s="15">
        <v>6.5655164725083003E-3</v>
      </c>
      <c r="C7" s="15">
        <v>6.1787348142394997E-2</v>
      </c>
      <c r="D7" s="15">
        <v>0.16347909792982901</v>
      </c>
      <c r="E7" s="15">
        <v>3.4195458611246399E-2</v>
      </c>
      <c r="F7" s="15">
        <v>4.09470720354135E-2</v>
      </c>
      <c r="G7" s="15">
        <v>9.4388453337330397E-2</v>
      </c>
      <c r="H7" s="15">
        <v>1.3493919133963399E-2</v>
      </c>
      <c r="I7" s="15">
        <v>0.189277091901774</v>
      </c>
      <c r="J7" s="15">
        <v>4.0946378111229399E-2</v>
      </c>
      <c r="K7" s="15">
        <v>1.8477245033496199E-2</v>
      </c>
    </row>
    <row r="8" spans="1:11" x14ac:dyDescent="0.25">
      <c r="A8" s="2" t="s">
        <v>29</v>
      </c>
      <c r="B8" s="15">
        <v>3.6395480123168802E-2</v>
      </c>
      <c r="C8" s="15">
        <v>0.53847808819437304</v>
      </c>
      <c r="D8" s="15">
        <v>0.80590678241570801</v>
      </c>
      <c r="E8" s="15">
        <v>0.104914061231349</v>
      </c>
      <c r="F8" s="15">
        <v>0.41769879913430102</v>
      </c>
      <c r="G8" s="15">
        <v>0.92856703798139095</v>
      </c>
      <c r="H8" s="15">
        <v>0.110313125120043</v>
      </c>
      <c r="I8" s="15">
        <v>0.59915484902898097</v>
      </c>
      <c r="J8" s="15">
        <v>0.39432036884206001</v>
      </c>
      <c r="K8" s="15">
        <v>0.186641705413297</v>
      </c>
    </row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2">
    <mergeCell ref="A1:A2"/>
    <mergeCell ref="B1:K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current</vt:lpstr>
      <vt:lpstr>Podsumowanie</vt:lpstr>
      <vt:lpstr>MSE</vt:lpstr>
      <vt:lpstr>pitch_C</vt:lpstr>
      <vt:lpstr>roll_C</vt:lpstr>
      <vt:lpstr>yaw_C</vt:lpstr>
      <vt:lpstr>pitch_M</vt:lpstr>
      <vt:lpstr>roll_M</vt:lpstr>
      <vt:lpstr>yaw_M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Tymiński</dc:creator>
  <cp:lastModifiedBy>Tymiński Paweł 2 (STUD)</cp:lastModifiedBy>
  <dcterms:created xsi:type="dcterms:W3CDTF">2020-02-05T06:47:20Z</dcterms:created>
  <dcterms:modified xsi:type="dcterms:W3CDTF">2020-03-04T15:01:46Z</dcterms:modified>
</cp:coreProperties>
</file>