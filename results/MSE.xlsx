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utwaw-my.sharepoint.com/personal/01025427_pw_edu_pl/Documents/STUDIA/MGR/PRACA_MATERIALY/KOD/"/>
    </mc:Choice>
  </mc:AlternateContent>
  <xr:revisionPtr revIDLastSave="45" documentId="13_ncr:40009_{4F4508E4-4FB5-452A-80D2-5300796A7992}" xr6:coauthVersionLast="45" xr6:coauthVersionMax="45" xr10:uidLastSave="{C5D7D963-F3F0-47E7-AB49-9AC0680C9966}"/>
  <bookViews>
    <workbookView xWindow="-120" yWindow="-120" windowWidth="20730" windowHeight="11310" xr2:uid="{00000000-000D-0000-FFFF-FFFF00000000}"/>
  </bookViews>
  <sheets>
    <sheet name="MSE" sheetId="1" r:id="rId1"/>
    <sheet name="Arkusz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0" i="1" l="1"/>
  <c r="C20" i="1"/>
  <c r="D20" i="1"/>
  <c r="E20" i="1"/>
  <c r="F20" i="1"/>
  <c r="G20" i="1"/>
  <c r="H20" i="1"/>
  <c r="I20" i="1"/>
  <c r="J20" i="1"/>
  <c r="K20" i="1"/>
  <c r="B21" i="1"/>
  <c r="C21" i="1"/>
  <c r="D21" i="1"/>
  <c r="E21" i="1"/>
  <c r="F21" i="1"/>
  <c r="G21" i="1"/>
  <c r="H21" i="1"/>
  <c r="I21" i="1"/>
  <c r="J21" i="1"/>
  <c r="K21" i="1"/>
  <c r="B22" i="1"/>
  <c r="C22" i="1"/>
  <c r="D22" i="1"/>
  <c r="E22" i="1"/>
  <c r="F22" i="1"/>
  <c r="G22" i="1"/>
  <c r="H22" i="1"/>
  <c r="I22" i="1"/>
  <c r="J22" i="1"/>
  <c r="K22" i="1"/>
  <c r="B23" i="1"/>
  <c r="C23" i="1"/>
  <c r="D23" i="1"/>
  <c r="E23" i="1"/>
  <c r="F23" i="1"/>
  <c r="G23" i="1"/>
  <c r="H23" i="1"/>
  <c r="I23" i="1"/>
  <c r="J23" i="1"/>
  <c r="K23" i="1"/>
  <c r="B24" i="1"/>
  <c r="C24" i="1"/>
  <c r="D24" i="1"/>
  <c r="E24" i="1"/>
  <c r="F24" i="1"/>
  <c r="G24" i="1"/>
  <c r="H24" i="1"/>
  <c r="I24" i="1"/>
  <c r="J24" i="1"/>
  <c r="K24" i="1"/>
  <c r="C19" i="1"/>
  <c r="D19" i="1"/>
  <c r="E19" i="1"/>
  <c r="F19" i="1"/>
  <c r="G19" i="1"/>
  <c r="H19" i="1"/>
  <c r="I19" i="1"/>
  <c r="J19" i="1"/>
  <c r="K19" i="1"/>
  <c r="B19" i="1"/>
  <c r="L21" i="1"/>
  <c r="L22" i="1"/>
  <c r="L20" i="1"/>
  <c r="L23" i="1"/>
  <c r="L24" i="1"/>
  <c r="L19" i="1"/>
  <c r="L14" i="1" l="1"/>
  <c r="P9" i="1" s="1"/>
  <c r="P10" i="1"/>
  <c r="L2" i="1"/>
  <c r="P6" i="1" s="1"/>
  <c r="L3" i="1"/>
  <c r="P7" i="1" s="1"/>
  <c r="L4" i="1"/>
  <c r="P8" i="1" s="1"/>
  <c r="L5" i="1"/>
  <c r="L6" i="1"/>
  <c r="L7" i="1"/>
  <c r="P11" i="1" s="1"/>
  <c r="L12" i="1"/>
  <c r="L13" i="1"/>
  <c r="L15" i="1"/>
  <c r="L16" i="1"/>
  <c r="L11" i="1"/>
</calcChain>
</file>

<file path=xl/sharedStrings.xml><?xml version="1.0" encoding="utf-8"?>
<sst xmlns="http://schemas.openxmlformats.org/spreadsheetml/2006/main" count="15" uniqueCount="9">
  <si>
    <t>LQR</t>
  </si>
  <si>
    <t>MPC</t>
  </si>
  <si>
    <t>PID</t>
  </si>
  <si>
    <t>NL PID</t>
  </si>
  <si>
    <t>NN MARMA</t>
  </si>
  <si>
    <t>NN MRC</t>
  </si>
  <si>
    <t>MSE</t>
  </si>
  <si>
    <t>CURRENT</t>
  </si>
  <si>
    <t>średnia z 10 testów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</si>
</sst>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2" fontId="0" fillId="0" borderId="10" xfId="0" applyNumberFormat="1" applyBorder="1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L12" sqref="L12"/>
    </sheetView>
  </sheetViews>
  <sheetFormatPr defaultRowHeight="15" x14ac:dyDescent="0.25"/>
  <cols>
    <col min="1" max="1" width="13" customWidth="1"/>
    <col min="2" max="2" width="8.42578125" customWidth="1"/>
    <col min="3" max="3" width="7.5703125" customWidth="1"/>
    <col min="4" max="4" width="8.42578125" customWidth="1"/>
    <col min="5" max="5" width="7.85546875" customWidth="1"/>
    <col min="6" max="6" width="8.5703125" customWidth="1"/>
    <col min="7" max="8" width="7.85546875" customWidth="1"/>
    <col min="9" max="9" width="7.5703125" customWidth="1"/>
    <col min="10" max="10" width="8.5703125" customWidth="1"/>
    <col min="11" max="11" width="7.42578125" customWidth="1"/>
    <col min="12" max="12" width="18.85546875" customWidth="1"/>
  </cols>
  <sheetData>
    <row r="1" spans="1:16" x14ac:dyDescent="0.25">
      <c r="A1" s="5" t="s">
        <v>6</v>
      </c>
      <c r="B1" s="5"/>
      <c r="C1" s="5"/>
      <c r="D1" s="5"/>
      <c r="E1" s="5"/>
      <c r="F1" s="5"/>
      <c r="G1" s="5"/>
      <c r="H1" s="5"/>
      <c r="I1" s="5"/>
      <c r="J1" s="5"/>
      <c r="K1" s="5"/>
      <c r="L1" t="s">
        <v>8</v>
      </c>
      <c r="N1">
        <v>0.6</v>
      </c>
    </row>
    <row r="2" spans="1:16" x14ac:dyDescent="0.25">
      <c r="A2" s="5" t="s">
        <v>0</v>
      </c>
      <c r="B2" s="6">
        <v>142.687120554275</v>
      </c>
      <c r="C2" s="6">
        <v>1.5996174214647101</v>
      </c>
      <c r="D2" s="6">
        <v>43.072015370007399</v>
      </c>
      <c r="E2" s="6">
        <v>50.319923839065403</v>
      </c>
      <c r="F2" s="7">
        <v>3.7174226855254799E-3</v>
      </c>
      <c r="G2" s="6">
        <v>48.895196108008903</v>
      </c>
      <c r="H2" s="7">
        <v>3.1407720589301702E-3</v>
      </c>
      <c r="I2" s="6">
        <v>1.2224281466443201</v>
      </c>
      <c r="J2" s="7">
        <v>3.198514413012E-3</v>
      </c>
      <c r="K2" s="6">
        <v>1.8639192784355101</v>
      </c>
      <c r="L2" s="1">
        <f t="shared" ref="L2:L7" si="0">AVERAGE(B2:K2)</f>
        <v>28.96702774270587</v>
      </c>
    </row>
    <row r="3" spans="1:16" x14ac:dyDescent="0.25">
      <c r="A3" s="5" t="s">
        <v>1</v>
      </c>
      <c r="B3" s="6">
        <v>142.26407381937099</v>
      </c>
      <c r="C3" s="6">
        <v>1.59974936074581</v>
      </c>
      <c r="D3" s="6">
        <v>42.724670813732999</v>
      </c>
      <c r="E3" s="6">
        <v>47.798178828097697</v>
      </c>
      <c r="F3" s="7">
        <v>3.8187431690430598E-3</v>
      </c>
      <c r="G3" s="6">
        <v>48.895419138383403</v>
      </c>
      <c r="H3" s="7">
        <v>3.2065154685806002E-3</v>
      </c>
      <c r="I3" s="6">
        <v>1.22280623404425</v>
      </c>
      <c r="J3" s="7">
        <v>3.2726750084999799E-3</v>
      </c>
      <c r="K3" s="6">
        <v>1.8639549656716099</v>
      </c>
      <c r="L3" s="1">
        <f t="shared" si="0"/>
        <v>28.637915109369281</v>
      </c>
    </row>
    <row r="4" spans="1:16" x14ac:dyDescent="0.25">
      <c r="A4" s="5" t="s">
        <v>2</v>
      </c>
      <c r="B4" s="6">
        <v>262.06105112568099</v>
      </c>
      <c r="C4" s="6">
        <v>1.5999634072362601</v>
      </c>
      <c r="D4" s="6">
        <v>46.357860055309096</v>
      </c>
      <c r="E4" s="6">
        <v>71.508208006730996</v>
      </c>
      <c r="F4" s="7">
        <v>4.32044612972799E-3</v>
      </c>
      <c r="G4" s="6">
        <v>48.895849000123803</v>
      </c>
      <c r="H4" s="7">
        <v>3.9476938286625704E-3</v>
      </c>
      <c r="I4" s="6">
        <v>1.2442841839590799</v>
      </c>
      <c r="J4" s="7">
        <v>3.5045542093615602E-3</v>
      </c>
      <c r="K4" s="6">
        <v>6.2521990557643399</v>
      </c>
      <c r="L4" s="1">
        <f t="shared" si="0"/>
        <v>43.793118752897229</v>
      </c>
    </row>
    <row r="5" spans="1:16" x14ac:dyDescent="0.25">
      <c r="A5" s="5" t="s">
        <v>3</v>
      </c>
      <c r="B5" s="6">
        <v>262.06102407402898</v>
      </c>
      <c r="C5" s="6">
        <v>1.60010228732294</v>
      </c>
      <c r="D5" s="6">
        <v>46.2343218126558</v>
      </c>
      <c r="E5" s="6">
        <v>71.521408018779198</v>
      </c>
      <c r="F5" s="7">
        <v>4.6264014097627901E-3</v>
      </c>
      <c r="G5" s="6">
        <v>48.896064326609398</v>
      </c>
      <c r="H5" s="7">
        <v>4.33977042304526E-3</v>
      </c>
      <c r="I5" s="6">
        <v>1.2449699622194701</v>
      </c>
      <c r="J5" s="7">
        <v>3.6743152937979799E-3</v>
      </c>
      <c r="K5" s="6">
        <v>6.2525025693827896</v>
      </c>
      <c r="L5" s="1">
        <f t="shared" si="0"/>
        <v>43.782303353812516</v>
      </c>
    </row>
    <row r="6" spans="1:16" x14ac:dyDescent="0.25">
      <c r="A6" s="5" t="s">
        <v>4</v>
      </c>
      <c r="B6" s="6">
        <v>142.66827098296201</v>
      </c>
      <c r="C6" s="6">
        <v>1.60460974525266</v>
      </c>
      <c r="D6" s="6">
        <v>43.073000380457898</v>
      </c>
      <c r="E6" s="6">
        <v>50.434236332764897</v>
      </c>
      <c r="F6" s="7">
        <v>8.2432678858241296E-3</v>
      </c>
      <c r="G6" s="6">
        <v>48.903583612052202</v>
      </c>
      <c r="H6" s="7">
        <v>8.5456621220482698E-3</v>
      </c>
      <c r="I6" s="6">
        <v>1.2333238482431499</v>
      </c>
      <c r="J6" s="7">
        <v>6.0826699739265902E-3</v>
      </c>
      <c r="K6" s="6">
        <v>1.8663403938137899</v>
      </c>
      <c r="L6" s="1">
        <f t="shared" si="0"/>
        <v>28.980623689552846</v>
      </c>
      <c r="P6">
        <f>(L2*0.6+L11*0.8)/1.4</f>
        <v>104.02665258305345</v>
      </c>
    </row>
    <row r="7" spans="1:16" x14ac:dyDescent="0.25">
      <c r="A7" s="5" t="s">
        <v>5</v>
      </c>
      <c r="B7" s="6">
        <v>142.722259217089</v>
      </c>
      <c r="C7" s="6">
        <v>1.64802921168854</v>
      </c>
      <c r="D7" s="6">
        <v>43.148340255157699</v>
      </c>
      <c r="E7" s="6">
        <v>50.481193048534102</v>
      </c>
      <c r="F7" s="7">
        <v>8.1650370610710996E-2</v>
      </c>
      <c r="G7" s="6">
        <v>48.969588773825201</v>
      </c>
      <c r="H7" s="7">
        <v>8.9379928948973106E-2</v>
      </c>
      <c r="I7" s="6">
        <v>1.2881359581588101</v>
      </c>
      <c r="J7" s="7">
        <v>7.1778451936608506E-2</v>
      </c>
      <c r="K7" s="6">
        <v>1.9106274369581799</v>
      </c>
      <c r="L7" s="1">
        <f t="shared" si="0"/>
        <v>29.041098265290781</v>
      </c>
      <c r="P7">
        <f t="shared" ref="P7:P11" si="1">(L3*0.6+L12*0.8)/1.4</f>
        <v>108.48124233741126</v>
      </c>
    </row>
    <row r="8" spans="1:16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P8">
        <f t="shared" si="1"/>
        <v>107.39382557866058</v>
      </c>
    </row>
    <row r="9" spans="1:16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P9">
        <f t="shared" si="1"/>
        <v>104.75972243815806</v>
      </c>
    </row>
    <row r="10" spans="1:16" x14ac:dyDescent="0.25">
      <c r="A10" s="2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1"/>
      <c r="N10">
        <v>0.8</v>
      </c>
      <c r="P10">
        <f t="shared" si="1"/>
        <v>117.24114008263426</v>
      </c>
    </row>
    <row r="11" spans="1:16" x14ac:dyDescent="0.25">
      <c r="A11" s="2" t="s">
        <v>0</v>
      </c>
      <c r="B11" s="4">
        <v>174.91787114919799</v>
      </c>
      <c r="C11" s="4">
        <v>164.95357741442299</v>
      </c>
      <c r="D11" s="4">
        <v>200.65639462537601</v>
      </c>
      <c r="E11" s="4">
        <v>196.42285666382401</v>
      </c>
      <c r="F11" s="4">
        <v>128.94621392227799</v>
      </c>
      <c r="G11" s="4">
        <v>207.92320990276599</v>
      </c>
      <c r="H11" s="4">
        <v>144.182476746791</v>
      </c>
      <c r="I11" s="4">
        <v>134.885467718965</v>
      </c>
      <c r="J11" s="4">
        <v>109.594717904066</v>
      </c>
      <c r="K11" s="4">
        <v>140.730926085454</v>
      </c>
      <c r="L11" s="1">
        <f>AVERAGE(B11:K11)</f>
        <v>160.32137121331414</v>
      </c>
      <c r="P11">
        <f t="shared" si="1"/>
        <v>105.83890968885875</v>
      </c>
    </row>
    <row r="12" spans="1:16" x14ac:dyDescent="0.25">
      <c r="A12" s="2" t="s">
        <v>1</v>
      </c>
      <c r="B12" s="4">
        <v>181.14552547338499</v>
      </c>
      <c r="C12" s="4">
        <v>178.101641973966</v>
      </c>
      <c r="D12" s="4">
        <v>205.957050275048</v>
      </c>
      <c r="E12" s="4">
        <v>196.59826488772401</v>
      </c>
      <c r="F12" s="4">
        <v>137.43189682598199</v>
      </c>
      <c r="G12" s="4">
        <v>217.07757179215301</v>
      </c>
      <c r="H12" s="4">
        <v>149.14287910500499</v>
      </c>
      <c r="I12" s="4">
        <v>139.65999381501601</v>
      </c>
      <c r="J12" s="4">
        <v>120.36039494697</v>
      </c>
      <c r="K12" s="4">
        <v>158.16215848917801</v>
      </c>
      <c r="L12" s="1">
        <f t="shared" ref="L12:L16" si="2">AVERAGE(B12:K12)</f>
        <v>168.36373775844271</v>
      </c>
    </row>
    <row r="13" spans="1:16" x14ac:dyDescent="0.25">
      <c r="A13" s="2" t="s">
        <v>2</v>
      </c>
      <c r="B13" s="4">
        <v>172.40715525127001</v>
      </c>
      <c r="C13" s="4">
        <v>162.10721575090801</v>
      </c>
      <c r="D13" s="4">
        <v>195.78898269745301</v>
      </c>
      <c r="E13" s="4">
        <v>182.90159498317999</v>
      </c>
      <c r="F13" s="4">
        <v>127.055988332179</v>
      </c>
      <c r="G13" s="4">
        <v>204.30095530887399</v>
      </c>
      <c r="H13" s="4">
        <v>139.47033112531699</v>
      </c>
      <c r="I13" s="4">
        <v>133.999230114818</v>
      </c>
      <c r="J13" s="4">
        <v>102.778481374675</v>
      </c>
      <c r="K13" s="4">
        <v>130.133622041157</v>
      </c>
      <c r="L13" s="1">
        <f t="shared" si="2"/>
        <v>155.09435569798308</v>
      </c>
    </row>
    <row r="14" spans="1:16" x14ac:dyDescent="0.25">
      <c r="A14" s="2" t="s">
        <v>3</v>
      </c>
      <c r="B14" s="4">
        <v>172.159833717201</v>
      </c>
      <c r="C14" s="4">
        <v>161.63306976405599</v>
      </c>
      <c r="D14" s="4">
        <v>194.54883833173901</v>
      </c>
      <c r="E14" s="4">
        <v>163.904485821197</v>
      </c>
      <c r="F14" s="4">
        <v>126.63565168077299</v>
      </c>
      <c r="G14" s="4">
        <v>202.60387204218901</v>
      </c>
      <c r="H14" s="4">
        <v>136.094057663375</v>
      </c>
      <c r="I14" s="4">
        <v>133.859402957057</v>
      </c>
      <c r="J14" s="4">
        <v>97.763482041451098</v>
      </c>
      <c r="K14" s="4">
        <v>115.725173495134</v>
      </c>
      <c r="L14" s="1">
        <f>AVERAGE(B14:K14)</f>
        <v>150.49278675141721</v>
      </c>
    </row>
    <row r="15" spans="1:16" x14ac:dyDescent="0.25">
      <c r="A15" s="2" t="s">
        <v>4</v>
      </c>
      <c r="B15" s="4">
        <v>186.13631336947799</v>
      </c>
      <c r="C15" s="4">
        <v>190.19629452132</v>
      </c>
      <c r="D15" s="4">
        <v>211.543152584317</v>
      </c>
      <c r="E15" s="4">
        <v>234.829131321646</v>
      </c>
      <c r="F15" s="4">
        <v>143.89591580126699</v>
      </c>
      <c r="G15" s="4">
        <v>223.349200360368</v>
      </c>
      <c r="H15" s="4">
        <v>163.56770372742599</v>
      </c>
      <c r="I15" s="4">
        <v>146.13837559926199</v>
      </c>
      <c r="J15" s="4">
        <v>138.05243940203499</v>
      </c>
      <c r="K15" s="4">
        <v>196.656747087334</v>
      </c>
      <c r="L15" s="1">
        <f t="shared" si="2"/>
        <v>183.43652737744529</v>
      </c>
    </row>
    <row r="16" spans="1:16" x14ac:dyDescent="0.25">
      <c r="A16" s="2" t="s">
        <v>5</v>
      </c>
      <c r="B16" s="4">
        <v>174.261610521802</v>
      </c>
      <c r="C16" s="4">
        <v>164.73529259397199</v>
      </c>
      <c r="D16" s="4">
        <v>199.56723598836601</v>
      </c>
      <c r="E16" s="4">
        <v>206.69751309464999</v>
      </c>
      <c r="F16" s="4">
        <v>131.21498712276599</v>
      </c>
      <c r="G16" s="4">
        <v>207.360906328536</v>
      </c>
      <c r="H16" s="4">
        <v>148.080386238838</v>
      </c>
      <c r="I16" s="4">
        <v>137.148425886871</v>
      </c>
      <c r="J16" s="4">
        <v>115.05614302242</v>
      </c>
      <c r="K16" s="4">
        <v>150.25018176712601</v>
      </c>
      <c r="L16" s="1">
        <f t="shared" si="2"/>
        <v>163.43726825653468</v>
      </c>
    </row>
    <row r="17" spans="2:12" x14ac:dyDescent="0.25">
      <c r="L17" s="1"/>
    </row>
    <row r="18" spans="2:12" x14ac:dyDescent="0.25">
      <c r="L18" s="1"/>
    </row>
    <row r="19" spans="2:12" x14ac:dyDescent="0.25">
      <c r="B19" s="1">
        <f>(B11/3600)*1000</f>
        <v>48.588297541443886</v>
      </c>
      <c r="C19" s="1">
        <f t="shared" ref="C19:K19" si="3">(C11/3600)*1000</f>
        <v>45.820438170673057</v>
      </c>
      <c r="D19" s="1">
        <f t="shared" si="3"/>
        <v>55.737887395937783</v>
      </c>
      <c r="E19" s="1">
        <f t="shared" si="3"/>
        <v>54.561904628840004</v>
      </c>
      <c r="F19" s="1">
        <f t="shared" si="3"/>
        <v>35.818392756188331</v>
      </c>
      <c r="G19" s="1">
        <f t="shared" si="3"/>
        <v>57.756447195212772</v>
      </c>
      <c r="H19" s="1">
        <f t="shared" si="3"/>
        <v>40.050687985219717</v>
      </c>
      <c r="I19" s="1">
        <f t="shared" si="3"/>
        <v>37.46818547749028</v>
      </c>
      <c r="J19" s="1">
        <f t="shared" si="3"/>
        <v>30.442977195573889</v>
      </c>
      <c r="K19" s="1">
        <f t="shared" si="3"/>
        <v>39.091923912626115</v>
      </c>
      <c r="L19" s="1">
        <f t="shared" ref="L19:L24" si="4">AVERAGE(B19:K19)</f>
        <v>44.533714225920576</v>
      </c>
    </row>
    <row r="20" spans="2:12" x14ac:dyDescent="0.25">
      <c r="B20" s="1">
        <f t="shared" ref="B20:K20" si="5">(B12/3600)*1000</f>
        <v>50.318201520384719</v>
      </c>
      <c r="C20" s="1">
        <f t="shared" si="5"/>
        <v>49.472678326101665</v>
      </c>
      <c r="D20" s="1">
        <f t="shared" si="5"/>
        <v>57.210291743068886</v>
      </c>
      <c r="E20" s="1">
        <f t="shared" si="5"/>
        <v>54.610629135478895</v>
      </c>
      <c r="F20" s="1">
        <f t="shared" si="5"/>
        <v>38.175526896106106</v>
      </c>
      <c r="G20" s="1">
        <f t="shared" si="5"/>
        <v>60.299325497820277</v>
      </c>
      <c r="H20" s="1">
        <f t="shared" si="5"/>
        <v>41.428577529168052</v>
      </c>
      <c r="I20" s="1">
        <f t="shared" si="5"/>
        <v>38.794442726393335</v>
      </c>
      <c r="J20" s="1">
        <f t="shared" si="5"/>
        <v>33.433443040825004</v>
      </c>
      <c r="K20" s="1">
        <f t="shared" si="5"/>
        <v>43.933932913660556</v>
      </c>
      <c r="L20" s="1">
        <f t="shared" si="4"/>
        <v>46.767704932900756</v>
      </c>
    </row>
    <row r="21" spans="2:12" x14ac:dyDescent="0.25">
      <c r="B21" s="1">
        <f t="shared" ref="B21:K21" si="6">(B13/3600)*1000</f>
        <v>47.890876458686115</v>
      </c>
      <c r="C21" s="1">
        <f t="shared" si="6"/>
        <v>45.029782153030006</v>
      </c>
      <c r="D21" s="1">
        <f t="shared" si="6"/>
        <v>54.385828527070281</v>
      </c>
      <c r="E21" s="1">
        <f t="shared" si="6"/>
        <v>50.805998606438884</v>
      </c>
      <c r="F21" s="1">
        <f t="shared" si="6"/>
        <v>35.293330092271944</v>
      </c>
      <c r="G21" s="1">
        <f t="shared" si="6"/>
        <v>56.750265363576105</v>
      </c>
      <c r="H21" s="1">
        <f t="shared" si="6"/>
        <v>38.741758645921387</v>
      </c>
      <c r="I21" s="1">
        <f t="shared" si="6"/>
        <v>37.222008365227225</v>
      </c>
      <c r="J21" s="1">
        <f t="shared" si="6"/>
        <v>28.549578159631942</v>
      </c>
      <c r="K21" s="1">
        <f t="shared" si="6"/>
        <v>36.148228344765833</v>
      </c>
      <c r="L21" s="1">
        <f t="shared" si="4"/>
        <v>43.081765471661967</v>
      </c>
    </row>
    <row r="22" spans="2:12" x14ac:dyDescent="0.25">
      <c r="B22" s="1">
        <f t="shared" ref="B22:K22" si="7">(B14/3600)*1000</f>
        <v>47.822176032555831</v>
      </c>
      <c r="C22" s="1">
        <f t="shared" si="7"/>
        <v>44.898074934459999</v>
      </c>
      <c r="D22" s="1">
        <f t="shared" si="7"/>
        <v>54.041343981038608</v>
      </c>
      <c r="E22" s="1">
        <f t="shared" si="7"/>
        <v>45.529023839221388</v>
      </c>
      <c r="F22" s="1">
        <f t="shared" si="7"/>
        <v>35.176569911325835</v>
      </c>
      <c r="G22" s="1">
        <f t="shared" si="7"/>
        <v>56.278853345052504</v>
      </c>
      <c r="H22" s="1">
        <f t="shared" si="7"/>
        <v>37.803904906493052</v>
      </c>
      <c r="I22" s="1">
        <f t="shared" si="7"/>
        <v>37.18316748807139</v>
      </c>
      <c r="J22" s="1">
        <f t="shared" si="7"/>
        <v>27.156522789291969</v>
      </c>
      <c r="K22" s="1">
        <f t="shared" si="7"/>
        <v>32.145881526426109</v>
      </c>
      <c r="L22" s="1">
        <f t="shared" si="4"/>
        <v>41.803551875393666</v>
      </c>
    </row>
    <row r="23" spans="2:12" x14ac:dyDescent="0.25">
      <c r="B23" s="1">
        <f t="shared" ref="B23:K23" si="8">(B15/3600)*1000</f>
        <v>51.704531491521664</v>
      </c>
      <c r="C23" s="1">
        <f t="shared" si="8"/>
        <v>52.832304033699998</v>
      </c>
      <c r="D23" s="1">
        <f t="shared" si="8"/>
        <v>58.761986828976944</v>
      </c>
      <c r="E23" s="1">
        <f t="shared" si="8"/>
        <v>65.230314256012775</v>
      </c>
      <c r="F23" s="1">
        <f t="shared" si="8"/>
        <v>39.971087722574161</v>
      </c>
      <c r="G23" s="1">
        <f t="shared" si="8"/>
        <v>62.041444544546664</v>
      </c>
      <c r="H23" s="1">
        <f t="shared" si="8"/>
        <v>45.435473257618334</v>
      </c>
      <c r="I23" s="1">
        <f t="shared" si="8"/>
        <v>40.593993222017218</v>
      </c>
      <c r="J23" s="1">
        <f t="shared" si="8"/>
        <v>38.347899833898609</v>
      </c>
      <c r="K23" s="1">
        <f t="shared" si="8"/>
        <v>54.62687419092611</v>
      </c>
      <c r="L23" s="1">
        <f t="shared" si="4"/>
        <v>50.954590938179251</v>
      </c>
    </row>
    <row r="24" spans="2:12" x14ac:dyDescent="0.25">
      <c r="B24" s="1">
        <f t="shared" ref="B24:K24" si="9">(B16/3600)*1000</f>
        <v>48.406002922722777</v>
      </c>
      <c r="C24" s="1">
        <f t="shared" si="9"/>
        <v>45.759803498325553</v>
      </c>
      <c r="D24" s="1">
        <f t="shared" si="9"/>
        <v>55.435343330101666</v>
      </c>
      <c r="E24" s="1">
        <f t="shared" si="9"/>
        <v>57.415975859625</v>
      </c>
      <c r="F24" s="1">
        <f t="shared" si="9"/>
        <v>36.448607534101669</v>
      </c>
      <c r="G24" s="1">
        <f t="shared" si="9"/>
        <v>57.600251757926671</v>
      </c>
      <c r="H24" s="1">
        <f t="shared" si="9"/>
        <v>41.133440621899439</v>
      </c>
      <c r="I24" s="1">
        <f t="shared" si="9"/>
        <v>38.096784968575278</v>
      </c>
      <c r="J24" s="1">
        <f t="shared" si="9"/>
        <v>31.960039728449999</v>
      </c>
      <c r="K24" s="1">
        <f t="shared" si="9"/>
        <v>41.736161601979447</v>
      </c>
      <c r="L24" s="1">
        <f t="shared" si="4"/>
        <v>45.399241182370744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A6557-6196-4AEA-B1ED-2AC8D8CF6E8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562BDB6971C2649A2F65E791FDB8E0E" ma:contentTypeVersion="8" ma:contentTypeDescription="Utwórz nowy dokument." ma:contentTypeScope="" ma:versionID="c149914f53a6a1df5ec20fda357b56db">
  <xsd:schema xmlns:xsd="http://www.w3.org/2001/XMLSchema" xmlns:xs="http://www.w3.org/2001/XMLSchema" xmlns:p="http://schemas.microsoft.com/office/2006/metadata/properties" xmlns:ns3="087db2e8-f373-4ff0-9362-ccd40481612a" targetNamespace="http://schemas.microsoft.com/office/2006/metadata/properties" ma:root="true" ma:fieldsID="8ec6408af6dec64df4714c50cee7b303" ns3:_="">
    <xsd:import namespace="087db2e8-f373-4ff0-9362-ccd4048161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7db2e8-f373-4ff0-9362-ccd4048161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02E98C-2525-40D9-B775-6E6EC3F909D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1988E39-3891-48CD-98C0-FC35499F53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D2A930-3177-4158-B89F-6A62F10E4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7db2e8-f373-4ff0-9362-ccd4048161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MSE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Tymiński</dc:creator>
  <cp:lastModifiedBy>Tymiński Paweł 2 (STUD)</cp:lastModifiedBy>
  <dcterms:created xsi:type="dcterms:W3CDTF">2020-02-03T15:04:40Z</dcterms:created>
  <dcterms:modified xsi:type="dcterms:W3CDTF">2020-02-04T14:45:57Z</dcterms:modified>
</cp:coreProperties>
</file>