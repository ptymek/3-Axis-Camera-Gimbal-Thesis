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Politechnika Warszawska\STUDIA\MGR\PRACA_MATERIALY\KOD\"/>
    </mc:Choice>
  </mc:AlternateContent>
  <xr:revisionPtr revIDLastSave="1" documentId="11_6094E00AD0AECF19F132504C7515C6BFE2A80315" xr6:coauthVersionLast="45" xr6:coauthVersionMax="45" xr10:uidLastSave="{D0336FCA-577D-4B10-9B5E-94C8175C678E}"/>
  <bookViews>
    <workbookView xWindow="-120" yWindow="-120" windowWidth="29040" windowHeight="15990" xr2:uid="{FF3E58BC-609A-47F8-915C-72EFC40C4BD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D10" i="1"/>
  <c r="D8" i="1"/>
  <c r="D7" i="1"/>
  <c r="D6" i="1"/>
  <c r="D5" i="1"/>
  <c r="D4" i="1"/>
  <c r="D3" i="1"/>
  <c r="D2" i="1"/>
  <c r="C7" i="1"/>
  <c r="C4" i="1"/>
  <c r="C3" i="1"/>
  <c r="C2" i="1"/>
  <c r="B10" i="1"/>
  <c r="B7" i="1"/>
  <c r="B4" i="1"/>
  <c r="B3" i="1"/>
  <c r="B2" i="1"/>
  <c r="D14" i="1" l="1"/>
  <c r="B14" i="1"/>
  <c r="D13" i="1"/>
  <c r="C13" i="1"/>
  <c r="B13" i="1"/>
  <c r="D12" i="1"/>
  <c r="C12" i="1"/>
  <c r="B18" i="1"/>
  <c r="B17" i="1"/>
  <c r="B16" i="1"/>
  <c r="B15" i="1"/>
</calcChain>
</file>

<file path=xl/sharedStrings.xml><?xml version="1.0" encoding="utf-8"?>
<sst xmlns="http://schemas.openxmlformats.org/spreadsheetml/2006/main" count="21" uniqueCount="21">
  <si>
    <t>Nr. Członu</t>
  </si>
  <si>
    <t>Masa</t>
  </si>
  <si>
    <t>Ix</t>
  </si>
  <si>
    <t>Iy</t>
  </si>
  <si>
    <t>Iz</t>
  </si>
  <si>
    <t>Ixy</t>
  </si>
  <si>
    <t>Ixz</t>
  </si>
  <si>
    <t>Iyx</t>
  </si>
  <si>
    <t>Iyz</t>
  </si>
  <si>
    <t>Izx</t>
  </si>
  <si>
    <t>Izy</t>
  </si>
  <si>
    <t>X</t>
  </si>
  <si>
    <t>Y</t>
  </si>
  <si>
    <t>Z</t>
  </si>
  <si>
    <t>B1</t>
  </si>
  <si>
    <t>L1</t>
  </si>
  <si>
    <t>H1</t>
  </si>
  <si>
    <t>H3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</si>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</sst>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C5EF-17AA-4A37-B3EB-E2C45E8C8980}">
  <dimension ref="A1:D18"/>
  <sheetViews>
    <sheetView tabSelected="1" workbookViewId="0">
      <selection sqref="A1:D18"/>
    </sheetView>
  </sheetViews>
  <sheetFormatPr defaultRowHeight="15" x14ac:dyDescent="0.25"/>
  <cols>
    <col min="1" max="1" width="12.28515625" customWidth="1"/>
    <col min="4" max="4" width="9.7109375" bestFit="1" customWidth="1"/>
  </cols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20</v>
      </c>
    </row>
    <row r="2" spans="1:4" x14ac:dyDescent="0.25">
      <c r="A2" s="1" t="s">
        <v>2</v>
      </c>
      <c r="B2" s="2">
        <f>85/1000000</f>
        <v>8.5000000000000006E-5</v>
      </c>
      <c r="C2" s="2">
        <f>34/1000000</f>
        <v>3.4E-5</v>
      </c>
      <c r="D2" s="2">
        <f>96/1000000</f>
        <v>9.6000000000000002E-5</v>
      </c>
    </row>
    <row r="3" spans="1:4" x14ac:dyDescent="0.25">
      <c r="A3" s="1" t="s">
        <v>3</v>
      </c>
      <c r="B3" s="2">
        <f>51/1000000</f>
        <v>5.1E-5</v>
      </c>
      <c r="C3" s="2">
        <f>41/1000000</f>
        <v>4.1E-5</v>
      </c>
      <c r="D3" s="2">
        <f>149/1000000</f>
        <v>1.4899999999999999E-4</v>
      </c>
    </row>
    <row r="4" spans="1:4" x14ac:dyDescent="0.25">
      <c r="A4" s="1" t="s">
        <v>4</v>
      </c>
      <c r="B4" s="2">
        <f>38/1000000</f>
        <v>3.8000000000000002E-5</v>
      </c>
      <c r="C4" s="2">
        <f>72/1000000</f>
        <v>7.2000000000000002E-5</v>
      </c>
      <c r="D4" s="2">
        <f>72/1000000</f>
        <v>7.2000000000000002E-5</v>
      </c>
    </row>
    <row r="5" spans="1:4" x14ac:dyDescent="0.25">
      <c r="A5" s="1" t="s">
        <v>5</v>
      </c>
      <c r="B5" s="2">
        <v>0</v>
      </c>
      <c r="C5" s="2">
        <v>0</v>
      </c>
      <c r="D5" s="2">
        <f>-1/1000000</f>
        <v>-9.9999999999999995E-7</v>
      </c>
    </row>
    <row r="6" spans="1:4" x14ac:dyDescent="0.25">
      <c r="A6" s="1" t="s">
        <v>6</v>
      </c>
      <c r="B6" s="2">
        <v>0</v>
      </c>
      <c r="C6" s="2">
        <v>0</v>
      </c>
      <c r="D6" s="2">
        <f>-2/1000000</f>
        <v>-1.9999999999999999E-6</v>
      </c>
    </row>
    <row r="7" spans="1:4" x14ac:dyDescent="0.25">
      <c r="A7" s="1" t="s">
        <v>7</v>
      </c>
      <c r="B7" s="2">
        <f>-40/1000000</f>
        <v>-4.0000000000000003E-5</v>
      </c>
      <c r="C7" s="2">
        <f>33/1000000</f>
        <v>3.3000000000000003E-5</v>
      </c>
      <c r="D7" s="2">
        <f>-1/1000000</f>
        <v>-9.9999999999999995E-7</v>
      </c>
    </row>
    <row r="8" spans="1:4" x14ac:dyDescent="0.25">
      <c r="A8" s="1" t="s">
        <v>8</v>
      </c>
      <c r="B8" s="2">
        <v>0</v>
      </c>
      <c r="C8" s="2">
        <v>0</v>
      </c>
      <c r="D8" s="2">
        <f>7/1000000</f>
        <v>6.9999999999999999E-6</v>
      </c>
    </row>
    <row r="9" spans="1:4" x14ac:dyDescent="0.25">
      <c r="A9" s="1" t="s">
        <v>9</v>
      </c>
      <c r="B9" s="2">
        <v>0</v>
      </c>
      <c r="C9" s="2">
        <v>0</v>
      </c>
      <c r="D9" s="2">
        <f>-2/1000000</f>
        <v>-1.9999999999999999E-6</v>
      </c>
    </row>
    <row r="10" spans="1:4" x14ac:dyDescent="0.25">
      <c r="A10" s="1" t="s">
        <v>10</v>
      </c>
      <c r="B10" s="2">
        <f>-40/1000000</f>
        <v>-4.0000000000000003E-5</v>
      </c>
      <c r="C10" s="2">
        <v>0</v>
      </c>
      <c r="D10" s="2">
        <f>7/1000000</f>
        <v>6.9999999999999999E-6</v>
      </c>
    </row>
    <row r="11" spans="1:4" x14ac:dyDescent="0.25">
      <c r="A11" s="1" t="s">
        <v>1</v>
      </c>
      <c r="B11" s="2">
        <v>2.5000000000000001E-2</v>
      </c>
      <c r="C11" s="2">
        <v>2.7E-2</v>
      </c>
      <c r="D11" s="2">
        <v>0.17399999999999999</v>
      </c>
    </row>
    <row r="12" spans="1:4" x14ac:dyDescent="0.25">
      <c r="A12" s="1" t="s">
        <v>11</v>
      </c>
      <c r="B12" s="2">
        <v>0</v>
      </c>
      <c r="C12" s="2">
        <f>-28/1000</f>
        <v>-2.8000000000000001E-2</v>
      </c>
      <c r="D12" s="2">
        <f>2/1000</f>
        <v>2E-3</v>
      </c>
    </row>
    <row r="13" spans="1:4" x14ac:dyDescent="0.25">
      <c r="A13" s="1" t="s">
        <v>12</v>
      </c>
      <c r="B13" s="2">
        <f>27/1000</f>
        <v>2.7E-2</v>
      </c>
      <c r="C13" s="2">
        <f>-29/1000</f>
        <v>-2.9000000000000001E-2</v>
      </c>
      <c r="D13" s="2">
        <f>2/1000</f>
        <v>2E-3</v>
      </c>
    </row>
    <row r="14" spans="1:4" x14ac:dyDescent="0.25">
      <c r="A14" s="1" t="s">
        <v>13</v>
      </c>
      <c r="B14" s="2">
        <f>38/1000</f>
        <v>3.7999999999999999E-2</v>
      </c>
      <c r="C14" s="2">
        <v>0</v>
      </c>
      <c r="D14" s="2">
        <f>-18/1000</f>
        <v>-1.7999999999999999E-2</v>
      </c>
    </row>
    <row r="15" spans="1:4" x14ac:dyDescent="0.25">
      <c r="A15" s="1" t="s">
        <v>14</v>
      </c>
      <c r="B15" s="2">
        <f>67/1000</f>
        <v>6.7000000000000004E-2</v>
      </c>
      <c r="C15" s="2"/>
      <c r="D15" s="2"/>
    </row>
    <row r="16" spans="1:4" x14ac:dyDescent="0.25">
      <c r="A16" s="1" t="s">
        <v>15</v>
      </c>
      <c r="B16" s="2">
        <f>72/1000</f>
        <v>7.1999999999999995E-2</v>
      </c>
      <c r="C16" s="2"/>
      <c r="D16" s="2"/>
    </row>
    <row r="17" spans="1:4" x14ac:dyDescent="0.25">
      <c r="A17" s="1" t="s">
        <v>16</v>
      </c>
      <c r="B17" s="2">
        <f>90/1000</f>
        <v>0.09</v>
      </c>
      <c r="C17" s="2"/>
      <c r="D17" s="2"/>
    </row>
    <row r="18" spans="1:4" x14ac:dyDescent="0.25">
      <c r="A18" s="1" t="s">
        <v>17</v>
      </c>
      <c r="B18" s="2">
        <f>8/1000</f>
        <v>8.0000000000000002E-3</v>
      </c>
      <c r="C18" s="2"/>
      <c r="D18" s="2"/>
    </row>
  </sheetData>
  <pageMargins left="0.7" right="0.7" top="0.75" bottom="0.75" header="0.3" footer="0.3"/>
  <ignoredErrors>
    <ignoredError sqref="B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Tymiński</dc:creator>
  <cp:lastModifiedBy>Tymiński Paweł 2 (STUD)</cp:lastModifiedBy>
  <dcterms:created xsi:type="dcterms:W3CDTF">2017-11-27T06:21:39Z</dcterms:created>
  <dcterms:modified xsi:type="dcterms:W3CDTF">2020-02-05T19:53:34Z</dcterms:modified>
</cp:coreProperties>
</file>